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D:\data_analytics_Studymaterials\"/>
    </mc:Choice>
  </mc:AlternateContent>
  <xr:revisionPtr revIDLastSave="0" documentId="13_ncr:1_{B1FD555E-38AB-4E3A-95D1-A2841B47D571}" xr6:coauthVersionLast="47" xr6:coauthVersionMax="47" xr10:uidLastSave="{00000000-0000-0000-0000-000000000000}"/>
  <bookViews>
    <workbookView xWindow="-108" yWindow="-108" windowWidth="23256" windowHeight="12456" xr2:uid="{87D14D2E-F107-45C8-8AC1-E784C6BA1EF5}"/>
  </bookViews>
  <sheets>
    <sheet name="Dash_board" sheetId="101" r:id="rId1"/>
    <sheet name="Raw_Data" sheetId="1" r:id="rId2"/>
    <sheet name="Analysis" sheetId="2" r:id="rId3"/>
    <sheet name="Pivot_Tables" sheetId="3" r:id="rId4"/>
  </sheets>
  <externalReferences>
    <externalReference r:id="rId5"/>
  </externalReferences>
  <definedNames>
    <definedName name="Slicer_Department">#N/A</definedName>
    <definedName name="Slicer_Department1">#N/A</definedName>
    <definedName name="Slicer_Location">#N/A</definedName>
    <definedName name="Slicer_Location1">#N/A</definedName>
    <definedName name="Slicer_Performance_Rating">#N/A</definedName>
    <definedName name="Slicer_Performance_Rating1">#N/A</definedName>
  </definedNames>
  <calcPr calcId="191029"/>
  <pivotCaches>
    <pivotCache cacheId="13"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53" i="2" l="1"/>
  <c r="F53" i="2"/>
  <c r="E53" i="2"/>
  <c r="D53" i="2"/>
  <c r="C53" i="2"/>
  <c r="C14" i="2" s="1"/>
  <c r="G52" i="2"/>
  <c r="F52" i="2"/>
  <c r="E52" i="2"/>
  <c r="C17" i="2" s="1"/>
  <c r="D52" i="2"/>
  <c r="C52" i="2"/>
  <c r="G51" i="2"/>
  <c r="F51" i="2"/>
  <c r="E51" i="2"/>
  <c r="D51" i="2"/>
  <c r="C51" i="2"/>
  <c r="G50" i="2"/>
  <c r="F50" i="2"/>
  <c r="E50" i="2"/>
  <c r="D50" i="2"/>
  <c r="C50" i="2"/>
  <c r="C54" i="2" s="1"/>
  <c r="G49" i="2"/>
  <c r="F49" i="2"/>
  <c r="E49" i="2"/>
  <c r="D49" i="2"/>
  <c r="C15" i="2" s="1"/>
  <c r="C49" i="2"/>
  <c r="G48" i="2"/>
  <c r="F48" i="2"/>
  <c r="E48" i="2"/>
  <c r="D48" i="2"/>
  <c r="C48" i="2"/>
  <c r="G47" i="2"/>
  <c r="C20" i="2" s="1"/>
  <c r="F47" i="2"/>
  <c r="C18" i="2" s="1"/>
  <c r="E47" i="2"/>
  <c r="D47" i="2"/>
  <c r="C16" i="2" s="1"/>
  <c r="C47" i="2"/>
  <c r="C43" i="2"/>
  <c r="C42" i="2"/>
  <c r="C40" i="2"/>
  <c r="C39" i="2"/>
  <c r="C38" i="2"/>
  <c r="C37" i="2"/>
  <c r="C36" i="2"/>
  <c r="C35" i="2"/>
  <c r="C34" i="2"/>
  <c r="C33" i="2"/>
  <c r="C32" i="2"/>
  <c r="C31" i="2"/>
  <c r="C30" i="2"/>
  <c r="C29" i="2"/>
  <c r="C28" i="2"/>
  <c r="C27" i="2"/>
  <c r="C26" i="2"/>
  <c r="C25" i="2"/>
  <c r="C24" i="2"/>
  <c r="C23" i="2"/>
  <c r="C22" i="2"/>
  <c r="C21" i="2"/>
  <c r="C13" i="2"/>
  <c r="C12" i="2"/>
  <c r="C11" i="2"/>
  <c r="C10" i="2"/>
  <c r="C9" i="2"/>
  <c r="C8" i="2"/>
  <c r="C7" i="2"/>
  <c r="C6" i="2"/>
  <c r="C5" i="2"/>
  <c r="C4" i="2"/>
  <c r="C3" i="2"/>
  <c r="C19" i="2" l="1"/>
  <c r="K103" i="1"/>
  <c r="J103" i="1"/>
  <c r="E103" i="1"/>
</calcChain>
</file>

<file path=xl/sharedStrings.xml><?xml version="1.0" encoding="utf-8"?>
<sst xmlns="http://schemas.openxmlformats.org/spreadsheetml/2006/main" count="716" uniqueCount="291">
  <si>
    <t>E001</t>
  </si>
  <si>
    <t>Arun Kumar</t>
  </si>
  <si>
    <t>IT</t>
  </si>
  <si>
    <t>Chennai</t>
  </si>
  <si>
    <t>Active</t>
  </si>
  <si>
    <t>E002</t>
  </si>
  <si>
    <t>Priya R</t>
  </si>
  <si>
    <t>Finance</t>
  </si>
  <si>
    <t>Bengaluru</t>
  </si>
  <si>
    <t>E003</t>
  </si>
  <si>
    <t>Ravi S</t>
  </si>
  <si>
    <t>HR</t>
  </si>
  <si>
    <t>E004</t>
  </si>
  <si>
    <t>Divya P</t>
  </si>
  <si>
    <t>Sales</t>
  </si>
  <si>
    <t>Hyderabad</t>
  </si>
  <si>
    <t>E005</t>
  </si>
  <si>
    <t>Kumar M</t>
  </si>
  <si>
    <t>Marketing</t>
  </si>
  <si>
    <t>Pune</t>
  </si>
  <si>
    <t>E006</t>
  </si>
  <si>
    <t>Meena K</t>
  </si>
  <si>
    <t>Analytics</t>
  </si>
  <si>
    <t>E007</t>
  </si>
  <si>
    <t>Suresh R</t>
  </si>
  <si>
    <t>Operations</t>
  </si>
  <si>
    <t>Mumbai</t>
  </si>
  <si>
    <t>On Leave</t>
  </si>
  <si>
    <t>E008</t>
  </si>
  <si>
    <t>Anitha S</t>
  </si>
  <si>
    <t>E009</t>
  </si>
  <si>
    <t>Vijay P</t>
  </si>
  <si>
    <t>E010</t>
  </si>
  <si>
    <t>Lakshmi M</t>
  </si>
  <si>
    <t>E011</t>
  </si>
  <si>
    <t>Karthik R</t>
  </si>
  <si>
    <t>E012</t>
  </si>
  <si>
    <t>Swetha K</t>
  </si>
  <si>
    <t>E013</t>
  </si>
  <si>
    <t>Rahul S</t>
  </si>
  <si>
    <t>E014</t>
  </si>
  <si>
    <t>Nithya P</t>
  </si>
  <si>
    <t>E015</t>
  </si>
  <si>
    <t>Gokul M</t>
  </si>
  <si>
    <t>Resigned</t>
  </si>
  <si>
    <t>E016</t>
  </si>
  <si>
    <t>Deepa R</t>
  </si>
  <si>
    <t>E017</t>
  </si>
  <si>
    <t>Manoj K</t>
  </si>
  <si>
    <t>E018</t>
  </si>
  <si>
    <t>Harini S</t>
  </si>
  <si>
    <t>E019</t>
  </si>
  <si>
    <t>Santhosh P</t>
  </si>
  <si>
    <t>E020</t>
  </si>
  <si>
    <t>Keerthi M</t>
  </si>
  <si>
    <t>E021</t>
  </si>
  <si>
    <t>E022</t>
  </si>
  <si>
    <t>Priya T</t>
  </si>
  <si>
    <t>E023</t>
  </si>
  <si>
    <t>Ravi K</t>
  </si>
  <si>
    <t>E024</t>
  </si>
  <si>
    <t>Divya S</t>
  </si>
  <si>
    <t>E025</t>
  </si>
  <si>
    <t>Kumar R</t>
  </si>
  <si>
    <t>E026</t>
  </si>
  <si>
    <t>Meena P</t>
  </si>
  <si>
    <t>E027</t>
  </si>
  <si>
    <t>Suresh M</t>
  </si>
  <si>
    <t>E028</t>
  </si>
  <si>
    <t>Anitha K</t>
  </si>
  <si>
    <t>E029</t>
  </si>
  <si>
    <t>Vijay R</t>
  </si>
  <si>
    <t>E030</t>
  </si>
  <si>
    <t>Lakshmi S</t>
  </si>
  <si>
    <t>E031</t>
  </si>
  <si>
    <t>Karthik P</t>
  </si>
  <si>
    <t>E032</t>
  </si>
  <si>
    <t>Swetha M</t>
  </si>
  <si>
    <t>E033</t>
  </si>
  <si>
    <t>Rahul K</t>
  </si>
  <si>
    <t>E034</t>
  </si>
  <si>
    <t>Nithya R</t>
  </si>
  <si>
    <t>E035</t>
  </si>
  <si>
    <t>Gokul S</t>
  </si>
  <si>
    <t>E036</t>
  </si>
  <si>
    <t>Deepa P</t>
  </si>
  <si>
    <t>E037</t>
  </si>
  <si>
    <t>Manoj R</t>
  </si>
  <si>
    <t>E038</t>
  </si>
  <si>
    <t>Harini K</t>
  </si>
  <si>
    <t>E039</t>
  </si>
  <si>
    <t>Santhosh M</t>
  </si>
  <si>
    <t>E040</t>
  </si>
  <si>
    <t>Keerthi S</t>
  </si>
  <si>
    <t>E041</t>
  </si>
  <si>
    <t>Arun P</t>
  </si>
  <si>
    <t>E042</t>
  </si>
  <si>
    <t>Priya M</t>
  </si>
  <si>
    <t>E043</t>
  </si>
  <si>
    <t>Ravi P</t>
  </si>
  <si>
    <t>E044</t>
  </si>
  <si>
    <t>Divya R</t>
  </si>
  <si>
    <t>E045</t>
  </si>
  <si>
    <t>Kumar S</t>
  </si>
  <si>
    <t>E046</t>
  </si>
  <si>
    <t>Meena R</t>
  </si>
  <si>
    <t>E047</t>
  </si>
  <si>
    <t>Suresh P</t>
  </si>
  <si>
    <t>E048</t>
  </si>
  <si>
    <t>Anitha M</t>
  </si>
  <si>
    <t>E049</t>
  </si>
  <si>
    <t>Vijay K</t>
  </si>
  <si>
    <t>E050</t>
  </si>
  <si>
    <t>Lakshmi R</t>
  </si>
  <si>
    <t>E051</t>
  </si>
  <si>
    <t>Karthik M</t>
  </si>
  <si>
    <t>E052</t>
  </si>
  <si>
    <t>Swetha P</t>
  </si>
  <si>
    <t>E053</t>
  </si>
  <si>
    <t>Rahul R</t>
  </si>
  <si>
    <t>E054</t>
  </si>
  <si>
    <t>Nithya K</t>
  </si>
  <si>
    <t>E055</t>
  </si>
  <si>
    <t>Gokul R</t>
  </si>
  <si>
    <t>E056</t>
  </si>
  <si>
    <t>Deepa M</t>
  </si>
  <si>
    <t>E057</t>
  </si>
  <si>
    <t>Manoj P</t>
  </si>
  <si>
    <t>E058</t>
  </si>
  <si>
    <t>Harini R</t>
  </si>
  <si>
    <t>E059</t>
  </si>
  <si>
    <t>Santhosh K</t>
  </si>
  <si>
    <t>E060</t>
  </si>
  <si>
    <t>Keerthi P</t>
  </si>
  <si>
    <t>E061</t>
  </si>
  <si>
    <t>Arun S</t>
  </si>
  <si>
    <t>E062</t>
  </si>
  <si>
    <t>Priya K</t>
  </si>
  <si>
    <t>E063</t>
  </si>
  <si>
    <t>Ravi M</t>
  </si>
  <si>
    <t>E064</t>
  </si>
  <si>
    <t>Divya K</t>
  </si>
  <si>
    <t>E065</t>
  </si>
  <si>
    <t>Kumar P</t>
  </si>
  <si>
    <t>E066</t>
  </si>
  <si>
    <t>Meena S</t>
  </si>
  <si>
    <t>E067</t>
  </si>
  <si>
    <t>Suresh K</t>
  </si>
  <si>
    <t>E068</t>
  </si>
  <si>
    <t>Anitha P</t>
  </si>
  <si>
    <t>E069</t>
  </si>
  <si>
    <t>Vijay S</t>
  </si>
  <si>
    <t>E070</t>
  </si>
  <si>
    <t>Lakshmi K</t>
  </si>
  <si>
    <t>E071</t>
  </si>
  <si>
    <t>Karthik S</t>
  </si>
  <si>
    <t>E072</t>
  </si>
  <si>
    <t>Swetha R</t>
  </si>
  <si>
    <t>E073</t>
  </si>
  <si>
    <t>Rahul P</t>
  </si>
  <si>
    <t>E074</t>
  </si>
  <si>
    <t>Nithya S</t>
  </si>
  <si>
    <t>E075</t>
  </si>
  <si>
    <t>Gokul K</t>
  </si>
  <si>
    <t>E076</t>
  </si>
  <si>
    <t>Deepa S</t>
  </si>
  <si>
    <t>E077</t>
  </si>
  <si>
    <t>E078</t>
  </si>
  <si>
    <t>Harini M</t>
  </si>
  <si>
    <t>E079</t>
  </si>
  <si>
    <t>Santhosh R</t>
  </si>
  <si>
    <t>E080</t>
  </si>
  <si>
    <t>Keerthi K</t>
  </si>
  <si>
    <t>E081</t>
  </si>
  <si>
    <t>Arun R</t>
  </si>
  <si>
    <t>E082</t>
  </si>
  <si>
    <t>Priya S</t>
  </si>
  <si>
    <t>E083</t>
  </si>
  <si>
    <t>Ravi R</t>
  </si>
  <si>
    <t>E084</t>
  </si>
  <si>
    <t>Divya M</t>
  </si>
  <si>
    <t>E085</t>
  </si>
  <si>
    <t>Kumar K</t>
  </si>
  <si>
    <t>E086</t>
  </si>
  <si>
    <t>E087</t>
  </si>
  <si>
    <t>Suresh S</t>
  </si>
  <si>
    <t>E088</t>
  </si>
  <si>
    <t>Anitha R</t>
  </si>
  <si>
    <t>E089</t>
  </si>
  <si>
    <t>Vijay M</t>
  </si>
  <si>
    <t>E090</t>
  </si>
  <si>
    <t>Lakshmi P</t>
  </si>
  <si>
    <t>E091</t>
  </si>
  <si>
    <t>E092</t>
  </si>
  <si>
    <t>Swetha S</t>
  </si>
  <si>
    <t>E093</t>
  </si>
  <si>
    <t>Rahul M</t>
  </si>
  <si>
    <t>E094</t>
  </si>
  <si>
    <t>E095</t>
  </si>
  <si>
    <t>E096</t>
  </si>
  <si>
    <t>Deepa K</t>
  </si>
  <si>
    <t>E097</t>
  </si>
  <si>
    <t>Manoj S</t>
  </si>
  <si>
    <t>E098</t>
  </si>
  <si>
    <t>Harini P</t>
  </si>
  <si>
    <t>E099</t>
  </si>
  <si>
    <t>Santhosh S</t>
  </si>
  <si>
    <t>E100</t>
  </si>
  <si>
    <t>E101</t>
  </si>
  <si>
    <t>New Employee</t>
  </si>
  <si>
    <t>Employee ID</t>
  </si>
  <si>
    <t>Employee Name</t>
  </si>
  <si>
    <t>Department</t>
  </si>
  <si>
    <t>Location</t>
  </si>
  <si>
    <t>Salary</t>
  </si>
  <si>
    <t>Experience</t>
  </si>
  <si>
    <t>Performance Rating</t>
  </si>
  <si>
    <t>Joining Date</t>
  </si>
  <si>
    <t>Age</t>
  </si>
  <si>
    <t>Status</t>
  </si>
  <si>
    <t>Total</t>
  </si>
  <si>
    <t>Employee Salary &amp; Performance Analysis</t>
  </si>
  <si>
    <t>Total Employees</t>
  </si>
  <si>
    <t>Total Salary</t>
  </si>
  <si>
    <t>Average Salary</t>
  </si>
  <si>
    <t>Highest Salary</t>
  </si>
  <si>
    <t>Lowest Salary</t>
  </si>
  <si>
    <t>Number of Employees Earning More Than ₹60,000</t>
  </si>
  <si>
    <t>Total Salary of Employees Earning More Than ₹60,000</t>
  </si>
  <si>
    <t>Average Salary of IT Department Employees</t>
  </si>
  <si>
    <t>Total Salary of Employees with 5 or More Years of Experience</t>
  </si>
  <si>
    <t>IT Employees Earning More Than ₹60,000</t>
  </si>
  <si>
    <t>Finance Employees with 5+ Years of Experience</t>
  </si>
  <si>
    <t>Department with the Highest Employee Count</t>
  </si>
  <si>
    <t>Department with the Highest Average Salary</t>
  </si>
  <si>
    <t>Department with the Lowest Average Salary</t>
  </si>
  <si>
    <t>Department with the Highest Average Performance Rating</t>
  </si>
  <si>
    <t>Department with the Highest Total Salary</t>
  </si>
  <si>
    <t>Department with the Highest Average Experience</t>
  </si>
  <si>
    <t>Department with the Lowest Average Experience</t>
  </si>
  <si>
    <t>Employees with Performance Rating ≥ 4</t>
  </si>
  <si>
    <t>Percentage of Employees with Performance Rating ≥ 4</t>
  </si>
  <si>
    <t>Employees with 5+ Years Experience and Performance Rating ≥ 4</t>
  </si>
  <si>
    <t>Percentage of Employees with 5+ Years of Experience</t>
  </si>
  <si>
    <t>Percentage of Employees with 5+ Years Experience and Performance Rating ≥ 4</t>
  </si>
  <si>
    <t>Median Salary of All Employees</t>
  </si>
  <si>
    <t>Salary Range (Highest − Lowest)</t>
  </si>
  <si>
    <t>Average Salary of Employees with 5+ Years Experience and Performance Rating ≥ 4</t>
  </si>
  <si>
    <t>Average Salary of IT Employees with 5+ Years of Experience</t>
  </si>
  <si>
    <t>Total Salary of IT Employees with 5+ Years Experience and Performance Rating ≥ 4</t>
  </si>
  <si>
    <t>Employees Who Joined in 2020</t>
  </si>
  <si>
    <t>Employees Who Joined During 2021–2022</t>
  </si>
  <si>
    <t>Average Experience of Employees Who Joined in 2020</t>
  </si>
  <si>
    <t>Employees Who Joined Before 2020</t>
  </si>
  <si>
    <t>Employees Who Joined in 2023 or Later</t>
  </si>
  <si>
    <t>Average Salary of Employees Who Joined in 2023 or Later</t>
  </si>
  <si>
    <t>Highest Salary Among Employees Who Joined in 2020</t>
  </si>
  <si>
    <t>Lowest Salary Among Employees Who Joined in 2020</t>
  </si>
  <si>
    <t>Average Performance Rating of Employees Who Joined in 2020</t>
  </si>
  <si>
    <t>Median Experience of All Employees</t>
  </si>
  <si>
    <t>Median Salary of Analytics Employees</t>
  </si>
  <si>
    <t>Analytics Employees Earning Above the Overall Median Salary</t>
  </si>
  <si>
    <t>Percentage of Analytics Employees with Performance Rating ≥ 4</t>
  </si>
  <si>
    <t>Employee Count</t>
  </si>
  <si>
    <t>Average Performance Rating</t>
  </si>
  <si>
    <t>Average Experience</t>
  </si>
  <si>
    <t>Total employees</t>
  </si>
  <si>
    <t xml:space="preserve"> </t>
  </si>
  <si>
    <t>Department Salary Analysis</t>
  </si>
  <si>
    <t>Total salary</t>
  </si>
  <si>
    <t>Maximum Salary</t>
  </si>
  <si>
    <t>Grand Total</t>
  </si>
  <si>
    <t>Experience by Department</t>
  </si>
  <si>
    <t>Employee count</t>
  </si>
  <si>
    <t>Maximum Experience</t>
  </si>
  <si>
    <t>Performance Rating by Department</t>
  </si>
  <si>
    <t xml:space="preserve"> Performance Rating</t>
  </si>
  <si>
    <t>Average Performance Rating by Department</t>
  </si>
  <si>
    <t>Total Salary by Department and Performance Rating</t>
  </si>
  <si>
    <t>Average Salary by Department and Performance Rating</t>
  </si>
  <si>
    <t>Employee Analysis by Experience Group</t>
  </si>
  <si>
    <t>1-3</t>
  </si>
  <si>
    <t>4-6</t>
  </si>
  <si>
    <t>7-9</t>
  </si>
  <si>
    <t>10-13</t>
  </si>
  <si>
    <t>Experience Group by Department</t>
  </si>
  <si>
    <t>Experience count</t>
  </si>
  <si>
    <t>Experience group</t>
  </si>
  <si>
    <t>Employee &amp; Salary Analysis by Location</t>
  </si>
  <si>
    <t>Salary Analysis by Location</t>
  </si>
  <si>
    <t>Employee Count by Location and Department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</si>
</sst>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 #,##0;[Red]&quot;₹&quot;\ \-#,##0"/>
    <numFmt numFmtId="164" formatCode="0.0"/>
    <numFmt numFmtId="165" formatCode="&quot;₹&quot;\ #,##0"/>
  </numFmts>
  <fonts count="14" x14ac:knownFonts="1">
    <font>
      <sz val="11"/>
      <color theme="1"/>
      <name val="Calibri"/>
      <family val="2"/>
      <scheme val="minor"/>
    </font>
    <font>
      <sz val="11"/>
      <color theme="1"/>
      <name val="Calibri"/>
      <family val="2"/>
      <scheme val="minor"/>
    </font>
    <font>
      <b/>
      <sz val="11"/>
      <color theme="1"/>
      <name val="Calibri"/>
      <family val="2"/>
      <scheme val="minor"/>
    </font>
    <font>
      <sz val="11"/>
      <color theme="1"/>
      <name val="Times New Roman"/>
      <family val="1"/>
    </font>
    <font>
      <b/>
      <sz val="11"/>
      <color theme="1"/>
      <name val="Times New Roman"/>
      <family val="1"/>
    </font>
    <font>
      <sz val="10"/>
      <color theme="1"/>
      <name val="Times New Roman"/>
      <family val="1"/>
    </font>
    <font>
      <b/>
      <sz val="14"/>
      <color theme="1"/>
      <name val="Times New Roman"/>
      <family val="1"/>
    </font>
    <font>
      <b/>
      <sz val="14"/>
      <color theme="4"/>
      <name val="Times New Roman"/>
      <family val="1"/>
    </font>
    <font>
      <sz val="12"/>
      <color theme="1"/>
      <name val="Times New Roman"/>
      <family val="1"/>
    </font>
    <font>
      <sz val="14"/>
      <color theme="4"/>
      <name val="Times New Roman"/>
      <family val="1"/>
    </font>
    <font>
      <sz val="14"/>
      <color theme="1"/>
      <name val="Times New Roman"/>
      <family val="1"/>
    </font>
    <font>
      <sz val="12"/>
      <color theme="4"/>
      <name val="Times New Roman"/>
      <family val="1"/>
    </font>
    <font>
      <sz val="11"/>
      <color theme="4"/>
      <name val="Calibri"/>
      <family val="2"/>
      <scheme val="minor"/>
    </font>
    <font>
      <sz val="11"/>
      <color theme="4"/>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39">
    <xf numFmtId="0" fontId="0" fillId="0" borderId="0" xfId="0"/>
    <xf numFmtId="14" fontId="0" fillId="0" borderId="0" xfId="0" applyNumberFormat="1"/>
    <xf numFmtId="0" fontId="0" fillId="0" borderId="0" xfId="0" applyAlignment="1">
      <alignment vertical="center" wrapText="1"/>
    </xf>
    <xf numFmtId="0" fontId="0" fillId="0" borderId="0" xfId="0" applyAlignment="1">
      <alignment horizontal="right" vertical="center" wrapText="1"/>
    </xf>
    <xf numFmtId="14" fontId="0" fillId="0" borderId="0" xfId="0" applyNumberFormat="1" applyAlignment="1">
      <alignment vertical="center" wrapText="1"/>
    </xf>
    <xf numFmtId="0" fontId="3" fillId="0" borderId="0" xfId="0" applyFont="1"/>
    <xf numFmtId="0" fontId="4" fillId="0" borderId="0" xfId="0" applyFont="1" applyAlignment="1">
      <alignment horizontal="center"/>
    </xf>
    <xf numFmtId="1" fontId="3" fillId="0" borderId="0" xfId="0" applyNumberFormat="1" applyFont="1"/>
    <xf numFmtId="10" fontId="3" fillId="0" borderId="0" xfId="1" applyNumberFormat="1" applyFont="1" applyProtection="1"/>
    <xf numFmtId="1" fontId="3" fillId="0" borderId="0" xfId="1" applyNumberFormat="1" applyFont="1"/>
    <xf numFmtId="10" fontId="3" fillId="0" borderId="0" xfId="1" applyNumberFormat="1" applyFont="1"/>
    <xf numFmtId="164" fontId="3" fillId="0" borderId="0" xfId="0" applyNumberFormat="1" applyFont="1"/>
    <xf numFmtId="6" fontId="3" fillId="0" borderId="0" xfId="0" applyNumberFormat="1" applyFont="1"/>
    <xf numFmtId="0" fontId="5" fillId="0" borderId="0" xfId="0" applyFont="1" applyAlignment="1">
      <alignment vertical="center"/>
    </xf>
    <xf numFmtId="9" fontId="3" fillId="0" borderId="0" xfId="1" applyFont="1"/>
    <xf numFmtId="2" fontId="3" fillId="0" borderId="0" xfId="0" applyNumberFormat="1" applyFont="1"/>
    <xf numFmtId="0" fontId="4" fillId="0" borderId="0" xfId="0" applyFont="1"/>
    <xf numFmtId="0" fontId="2" fillId="0" borderId="0" xfId="0" applyFont="1"/>
    <xf numFmtId="0" fontId="6" fillId="0" borderId="0" xfId="0" applyFont="1"/>
    <xf numFmtId="0" fontId="7" fillId="0" borderId="0" xfId="0" applyFont="1"/>
    <xf numFmtId="0" fontId="8" fillId="0" borderId="0" xfId="0" applyFont="1"/>
    <xf numFmtId="165" fontId="8" fillId="0" borderId="0" xfId="0" applyNumberFormat="1" applyFont="1"/>
    <xf numFmtId="0" fontId="9" fillId="0" borderId="0" xfId="0" applyFont="1"/>
    <xf numFmtId="1" fontId="8" fillId="0" borderId="0" xfId="0" applyNumberFormat="1" applyFont="1"/>
    <xf numFmtId="0" fontId="10" fillId="0" borderId="0" xfId="0" applyFont="1"/>
    <xf numFmtId="0" fontId="11" fillId="0" borderId="0" xfId="0" applyFont="1"/>
    <xf numFmtId="0" fontId="12" fillId="0" borderId="0" xfId="0" applyFont="1"/>
    <xf numFmtId="164" fontId="8" fillId="0" borderId="0" xfId="0" applyNumberFormat="1" applyFont="1"/>
    <xf numFmtId="0" fontId="13" fillId="0" borderId="0" xfId="0" applyFont="1"/>
    <xf numFmtId="165" fontId="0" fillId="0" borderId="0" xfId="0" applyNumberFormat="1"/>
    <xf numFmtId="164" fontId="0" fillId="0" borderId="0" xfId="0" applyNumberFormat="1"/>
    <xf numFmtId="0" fontId="11" fillId="0" borderId="0" xfId="0" pivotButton="1" applyFont="1"/>
    <xf numFmtId="0" fontId="9" fillId="0" borderId="0" xfId="0" pivotButton="1" applyFont="1"/>
    <xf numFmtId="0" fontId="11" fillId="0" borderId="0" xfId="0" pivotButton="1" applyFont="1" applyAlignment="1">
      <alignment wrapText="1"/>
    </xf>
    <xf numFmtId="0" fontId="7" fillId="0" borderId="0" xfId="0" pivotButton="1" applyFont="1"/>
    <xf numFmtId="0" fontId="13" fillId="0" borderId="0" xfId="0" pivotButton="1" applyFont="1"/>
    <xf numFmtId="0" fontId="0" fillId="0" borderId="0" xfId="0" applyNumberFormat="1"/>
    <xf numFmtId="0" fontId="8" fillId="0" borderId="0" xfId="0" applyNumberFormat="1" applyFont="1"/>
    <xf numFmtId="0" fontId="11" fillId="0" borderId="0" xfId="0" pivotButton="1" applyFont="1" applyAlignment="1"/>
  </cellXfs>
  <cellStyles count="2">
    <cellStyle name="Normal" xfId="0" builtinId="0"/>
    <cellStyle name="Percent" xfId="1" builtinId="5"/>
  </cellStyles>
  <dxfs count="214">
    <dxf>
      <font>
        <color theme="4"/>
      </font>
    </dxf>
    <dxf>
      <font>
        <color theme="4"/>
      </font>
    </dxf>
    <dxf>
      <font>
        <color theme="4"/>
      </font>
    </dxf>
    <dxf>
      <font>
        <color theme="4"/>
      </font>
    </dxf>
    <dxf>
      <font>
        <color theme="4"/>
      </font>
    </dxf>
    <dxf>
      <font>
        <color theme="4"/>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color theme="4"/>
      </font>
    </dxf>
    <dxf>
      <font>
        <color theme="4"/>
      </font>
    </dxf>
    <dxf>
      <font>
        <name val="Times New Roman"/>
        <family val="1"/>
        <scheme val="none"/>
      </font>
    </dxf>
    <dxf>
      <font>
        <name val="Times New Roman"/>
        <family val="1"/>
        <scheme val="none"/>
      </font>
    </dxf>
    <dxf>
      <font>
        <b/>
      </font>
    </dxf>
    <dxf>
      <font>
        <b/>
      </font>
    </dxf>
    <dxf>
      <font>
        <sz val="14"/>
      </font>
    </dxf>
    <dxf>
      <font>
        <sz val="14"/>
      </font>
    </dxf>
    <dxf>
      <font>
        <color theme="4"/>
      </font>
    </dxf>
    <dxf>
      <font>
        <color theme="4"/>
      </font>
    </dxf>
    <dxf>
      <numFmt numFmtId="165" formatCode="&quot;₹&quot;\ #,##0"/>
    </dxf>
    <dxf>
      <numFmt numFmtId="165" formatCode="&quot;₹&quot;\ #,##0"/>
    </dxf>
    <dxf>
      <numFmt numFmtId="165" formatCode="&quot;₹&quot;\ #,##0"/>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color theme="4"/>
      </font>
    </dxf>
    <dxf>
      <font>
        <color theme="4"/>
      </font>
    </dxf>
    <dxf>
      <font>
        <color theme="4"/>
      </font>
    </dxf>
    <dxf>
      <font>
        <color theme="4"/>
      </font>
    </dxf>
    <dxf>
      <font>
        <color theme="4"/>
      </font>
    </dxf>
    <dxf>
      <font>
        <color theme="4"/>
      </font>
    </dxf>
    <dxf>
      <alignment wrapText="1"/>
    </dxf>
    <dxf>
      <font>
        <name val="Times New Roman"/>
        <family val="1"/>
        <scheme val="none"/>
      </font>
    </dxf>
    <dxf>
      <font>
        <name val="Times New Roman"/>
        <family val="1"/>
        <scheme val="none"/>
      </font>
    </dxf>
    <dxf>
      <font>
        <sz val="14"/>
      </font>
    </dxf>
    <dxf>
      <font>
        <sz val="14"/>
      </font>
    </dxf>
    <dxf>
      <font>
        <color theme="4"/>
      </font>
    </dxf>
    <dxf>
      <font>
        <color theme="4"/>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numFmt numFmtId="1" formatCode="0"/>
    </dxf>
    <dxf>
      <numFmt numFmtId="1" formatCode="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color theme="4"/>
      </font>
    </dxf>
    <dxf>
      <font>
        <color theme="4"/>
      </font>
    </dxf>
    <dxf>
      <font>
        <color theme="4"/>
      </font>
    </dxf>
    <dxf>
      <font>
        <color theme="4"/>
      </font>
    </dxf>
    <dxf>
      <font>
        <color theme="4"/>
      </font>
    </dxf>
    <dxf>
      <font>
        <color theme="4"/>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color theme="4"/>
      </font>
    </dxf>
    <dxf>
      <font>
        <color theme="4"/>
      </font>
    </dxf>
    <dxf>
      <font>
        <color theme="4"/>
      </font>
    </dxf>
    <dxf>
      <font>
        <color theme="4"/>
      </font>
    </dxf>
    <dxf>
      <font>
        <color theme="4"/>
      </font>
    </dxf>
    <dxf>
      <font>
        <color theme="4"/>
      </font>
    </dxf>
    <dxf>
      <numFmt numFmtId="165" formatCode="&quot;₹&quot;\ #,##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color theme="4"/>
      </font>
    </dxf>
    <dxf>
      <font>
        <color theme="4"/>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165" formatCode="&quot;₹&quot;\ #,##0"/>
    </dxf>
    <dxf>
      <numFmt numFmtId="165" formatCode="&quot;₹&quot;\ #,##0"/>
    </dxf>
    <dxf>
      <font>
        <color theme="4"/>
      </font>
    </dxf>
    <dxf>
      <font>
        <color theme="4"/>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color theme="4"/>
      </font>
    </dxf>
    <dxf>
      <font>
        <color theme="4"/>
      </font>
    </dxf>
    <dxf>
      <numFmt numFmtId="165" formatCode="&quot;₹&quot;\ #,##0"/>
    </dxf>
    <dxf>
      <font>
        <color theme="4"/>
      </font>
    </dxf>
    <dxf>
      <font>
        <color theme="4"/>
      </font>
    </dxf>
    <dxf>
      <font>
        <color theme="4"/>
      </font>
    </dxf>
    <dxf>
      <font>
        <color theme="4"/>
      </font>
    </dxf>
    <dxf>
      <font>
        <color theme="4"/>
      </font>
    </dxf>
    <dxf>
      <font>
        <color theme="4"/>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alignment wrapText="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externalLink" Target="externalLinks/externalLink1.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800" b="0">
                <a:solidFill>
                  <a:schemeClr val="accent1"/>
                </a:solidFill>
                <a:latin typeface="Times New Roman" panose="02020603050405020304" pitchFamily="18" charset="0"/>
                <a:cs typeface="Times New Roman" panose="02020603050405020304" pitchFamily="18" charset="0"/>
              </a:rPr>
              <a:t>Average Salary by Department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HR</c:v>
              </c:pt>
              <c:pt idx="1">
                <c:v>Operations</c:v>
              </c:pt>
              <c:pt idx="2">
                <c:v>Finance</c:v>
              </c:pt>
              <c:pt idx="3">
                <c:v>Marketing</c:v>
              </c:pt>
              <c:pt idx="4">
                <c:v>IT</c:v>
              </c:pt>
              <c:pt idx="5">
                <c:v>Sales</c:v>
              </c:pt>
              <c:pt idx="6">
                <c:v>Analytics</c:v>
              </c:pt>
            </c:strLit>
          </c:cat>
          <c:val>
            <c:numLit>
              <c:formatCode>General</c:formatCode>
              <c:ptCount val="7"/>
              <c:pt idx="0">
                <c:v>40937.5</c:v>
              </c:pt>
              <c:pt idx="1">
                <c:v>50600</c:v>
              </c:pt>
              <c:pt idx="2">
                <c:v>58000</c:v>
              </c:pt>
              <c:pt idx="3">
                <c:v>66000</c:v>
              </c:pt>
              <c:pt idx="4">
                <c:v>72875</c:v>
              </c:pt>
              <c:pt idx="5">
                <c:v>77866.666666666672</c:v>
              </c:pt>
              <c:pt idx="6">
                <c:v>96600</c:v>
              </c:pt>
            </c:numLit>
          </c:val>
          <c:extLst>
            <c:ext xmlns:c16="http://schemas.microsoft.com/office/drawing/2014/chart" uri="{C3380CC4-5D6E-409C-BE32-E72D297353CC}">
              <c16:uniqueId val="{00000000-9C65-4FDA-86F0-6F2F8B71597C}"/>
            </c:ext>
          </c:extLst>
        </c:ser>
        <c:dLbls>
          <c:dLblPos val="outEnd"/>
          <c:showLegendKey val="0"/>
          <c:showVal val="1"/>
          <c:showCatName val="0"/>
          <c:showSerName val="0"/>
          <c:showPercent val="0"/>
          <c:showBubbleSize val="0"/>
        </c:dLbls>
        <c:gapWidth val="115"/>
        <c:overlap val="-20"/>
        <c:axId val="589805743"/>
        <c:axId val="589805263"/>
      </c:barChart>
      <c:catAx>
        <c:axId val="58980574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805263"/>
        <c:crosses val="autoZero"/>
        <c:auto val="1"/>
        <c:lblAlgn val="ctr"/>
        <c:lblOffset val="100"/>
        <c:noMultiLvlLbl val="0"/>
      </c:catAx>
      <c:valAx>
        <c:axId val="589805263"/>
        <c:scaling>
          <c:orientation val="minMax"/>
          <c:min val="200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805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0" i="0" u="none" strike="noStrike" kern="1200" spc="0" baseline="0">
                <a:solidFill>
                  <a:schemeClr val="accent1"/>
                </a:solidFill>
                <a:latin typeface="Times New Roman" panose="02020603050405020304" pitchFamily="18" charset="0"/>
                <a:cs typeface="Times New Roman" panose="02020603050405020304" pitchFamily="18" charset="0"/>
              </a:rPr>
              <a:t>Employee Count by Location</a:t>
            </a:r>
            <a:endParaRPr lang="en-IN" sz="1800">
              <a:solidFill>
                <a:schemeClr val="accent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Bengaluru</c:v>
              </c:pt>
              <c:pt idx="1">
                <c:v>Chennai</c:v>
              </c:pt>
              <c:pt idx="2">
                <c:v>Hyderabad</c:v>
              </c:pt>
              <c:pt idx="3">
                <c:v>Mumbai</c:v>
              </c:pt>
              <c:pt idx="4">
                <c:v>Pune</c:v>
              </c:pt>
            </c:strLit>
          </c:cat>
          <c:val>
            <c:numLit>
              <c:formatCode>General</c:formatCode>
              <c:ptCount val="5"/>
              <c:pt idx="0">
                <c:v>20</c:v>
              </c:pt>
              <c:pt idx="1">
                <c:v>29</c:v>
              </c:pt>
              <c:pt idx="2">
                <c:v>19</c:v>
              </c:pt>
              <c:pt idx="3">
                <c:v>14</c:v>
              </c:pt>
              <c:pt idx="4">
                <c:v>19</c:v>
              </c:pt>
            </c:numLit>
          </c:val>
          <c:extLst>
            <c:ext xmlns:c16="http://schemas.microsoft.com/office/drawing/2014/chart" uri="{C3380CC4-5D6E-409C-BE32-E72D297353CC}">
              <c16:uniqueId val="{00000000-ADD6-46FA-8C42-3910241369FA}"/>
            </c:ext>
          </c:extLst>
        </c:ser>
        <c:dLbls>
          <c:dLblPos val="outEnd"/>
          <c:showLegendKey val="0"/>
          <c:showVal val="1"/>
          <c:showCatName val="0"/>
          <c:showSerName val="0"/>
          <c:showPercent val="0"/>
          <c:showBubbleSize val="0"/>
        </c:dLbls>
        <c:gapWidth val="219"/>
        <c:overlap val="-27"/>
        <c:axId val="1062188287"/>
        <c:axId val="1062189247"/>
      </c:barChart>
      <c:catAx>
        <c:axId val="1062188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189247"/>
        <c:crosses val="autoZero"/>
        <c:auto val="1"/>
        <c:lblAlgn val="ctr"/>
        <c:lblOffset val="100"/>
        <c:noMultiLvlLbl val="0"/>
      </c:catAx>
      <c:valAx>
        <c:axId val="1062189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188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solidFill>
                  <a:schemeClr val="accent1"/>
                </a:solidFill>
              </a:rPr>
              <a:t>Experience Vs Performance </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scatterChart>
        <c:scatterStyle val="lineMarker"/>
        <c:varyColors val="0"/>
        <c:ser>
          <c:idx val="0"/>
          <c:order val="0"/>
          <c:tx>
            <c:v>Experience Vs Performance Rating</c:v>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0"/>
            <c:trendlineLbl>
              <c:layout>
                <c:manualLayout>
                  <c:x val="9.1810102536388397E-2"/>
                  <c:y val="-9.3507887724031791E-2"/>
                </c:manualLayout>
              </c:layout>
              <c:numFmt formatCode="General" sourceLinked="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rendlineLbl>
          </c:trendline>
          <c:xVal>
            <c:numRef>
              <c:f>[1]Raw_data!$F$2:$F$102</c:f>
              <c:numCache>
                <c:formatCode>General</c:formatCode>
                <c:ptCount val="101"/>
                <c:pt idx="0">
                  <c:v>3</c:v>
                </c:pt>
                <c:pt idx="1">
                  <c:v>6</c:v>
                </c:pt>
                <c:pt idx="2">
                  <c:v>2</c:v>
                </c:pt>
                <c:pt idx="3">
                  <c:v>8</c:v>
                </c:pt>
                <c:pt idx="4">
                  <c:v>5</c:v>
                </c:pt>
                <c:pt idx="5">
                  <c:v>7</c:v>
                </c:pt>
                <c:pt idx="6">
                  <c:v>4</c:v>
                </c:pt>
                <c:pt idx="7">
                  <c:v>3</c:v>
                </c:pt>
                <c:pt idx="8">
                  <c:v>5</c:v>
                </c:pt>
                <c:pt idx="9">
                  <c:v>3</c:v>
                </c:pt>
                <c:pt idx="10">
                  <c:v>9</c:v>
                </c:pt>
                <c:pt idx="11">
                  <c:v>4</c:v>
                </c:pt>
                <c:pt idx="12">
                  <c:v>8</c:v>
                </c:pt>
                <c:pt idx="13">
                  <c:v>3</c:v>
                </c:pt>
                <c:pt idx="14">
                  <c:v>5</c:v>
                </c:pt>
                <c:pt idx="15">
                  <c:v>5</c:v>
                </c:pt>
                <c:pt idx="16">
                  <c:v>12</c:v>
                </c:pt>
                <c:pt idx="17">
                  <c:v>1</c:v>
                </c:pt>
                <c:pt idx="18">
                  <c:v>7</c:v>
                </c:pt>
                <c:pt idx="19">
                  <c:v>9</c:v>
                </c:pt>
                <c:pt idx="20">
                  <c:v>8</c:v>
                </c:pt>
                <c:pt idx="21">
                  <c:v>5</c:v>
                </c:pt>
                <c:pt idx="22">
                  <c:v>6</c:v>
                </c:pt>
                <c:pt idx="23">
                  <c:v>4</c:v>
                </c:pt>
                <c:pt idx="24">
                  <c:v>5</c:v>
                </c:pt>
                <c:pt idx="25">
                  <c:v>10</c:v>
                </c:pt>
                <c:pt idx="26">
                  <c:v>11</c:v>
                </c:pt>
                <c:pt idx="27">
                  <c:v>4</c:v>
                </c:pt>
                <c:pt idx="28">
                  <c:v>6</c:v>
                </c:pt>
                <c:pt idx="29">
                  <c:v>7</c:v>
                </c:pt>
                <c:pt idx="30">
                  <c:v>2</c:v>
                </c:pt>
                <c:pt idx="31">
                  <c:v>4</c:v>
                </c:pt>
                <c:pt idx="32">
                  <c:v>10</c:v>
                </c:pt>
                <c:pt idx="33">
                  <c:v>6</c:v>
                </c:pt>
                <c:pt idx="34">
                  <c:v>3</c:v>
                </c:pt>
                <c:pt idx="35">
                  <c:v>6</c:v>
                </c:pt>
                <c:pt idx="36">
                  <c:v>9</c:v>
                </c:pt>
                <c:pt idx="37">
                  <c:v>2</c:v>
                </c:pt>
                <c:pt idx="38">
                  <c:v>6</c:v>
                </c:pt>
                <c:pt idx="39">
                  <c:v>12</c:v>
                </c:pt>
                <c:pt idx="40">
                  <c:v>4</c:v>
                </c:pt>
                <c:pt idx="41">
                  <c:v>6</c:v>
                </c:pt>
                <c:pt idx="42">
                  <c:v>7</c:v>
                </c:pt>
                <c:pt idx="43">
                  <c:v>2</c:v>
                </c:pt>
                <c:pt idx="44">
                  <c:v>5</c:v>
                </c:pt>
                <c:pt idx="45">
                  <c:v>8</c:v>
                </c:pt>
                <c:pt idx="46">
                  <c:v>9</c:v>
                </c:pt>
                <c:pt idx="47">
                  <c:v>3</c:v>
                </c:pt>
                <c:pt idx="48">
                  <c:v>7</c:v>
                </c:pt>
                <c:pt idx="49">
                  <c:v>6</c:v>
                </c:pt>
                <c:pt idx="50">
                  <c:v>3</c:v>
                </c:pt>
                <c:pt idx="51">
                  <c:v>5</c:v>
                </c:pt>
                <c:pt idx="52">
                  <c:v>11</c:v>
                </c:pt>
                <c:pt idx="53">
                  <c:v>2</c:v>
                </c:pt>
                <c:pt idx="54">
                  <c:v>4</c:v>
                </c:pt>
                <c:pt idx="55">
                  <c:v>8</c:v>
                </c:pt>
                <c:pt idx="56">
                  <c:v>10</c:v>
                </c:pt>
                <c:pt idx="57">
                  <c:v>1</c:v>
                </c:pt>
                <c:pt idx="58">
                  <c:v>7</c:v>
                </c:pt>
                <c:pt idx="59">
                  <c:v>8</c:v>
                </c:pt>
                <c:pt idx="60">
                  <c:v>5</c:v>
                </c:pt>
                <c:pt idx="61">
                  <c:v>8</c:v>
                </c:pt>
                <c:pt idx="62">
                  <c:v>4</c:v>
                </c:pt>
                <c:pt idx="63">
                  <c:v>3</c:v>
                </c:pt>
                <c:pt idx="64">
                  <c:v>6</c:v>
                </c:pt>
                <c:pt idx="65">
                  <c:v>9</c:v>
                </c:pt>
                <c:pt idx="66">
                  <c:v>10</c:v>
                </c:pt>
                <c:pt idx="67">
                  <c:v>4</c:v>
                </c:pt>
                <c:pt idx="68">
                  <c:v>8</c:v>
                </c:pt>
                <c:pt idx="69">
                  <c:v>7</c:v>
                </c:pt>
                <c:pt idx="70">
                  <c:v>2</c:v>
                </c:pt>
                <c:pt idx="71">
                  <c:v>5</c:v>
                </c:pt>
                <c:pt idx="72">
                  <c:v>13</c:v>
                </c:pt>
                <c:pt idx="73">
                  <c:v>6</c:v>
                </c:pt>
                <c:pt idx="74">
                  <c:v>3</c:v>
                </c:pt>
                <c:pt idx="75">
                  <c:v>7</c:v>
                </c:pt>
                <c:pt idx="76">
                  <c:v>9</c:v>
                </c:pt>
                <c:pt idx="77">
                  <c:v>2</c:v>
                </c:pt>
                <c:pt idx="78">
                  <c:v>5</c:v>
                </c:pt>
                <c:pt idx="79">
                  <c:v>11</c:v>
                </c:pt>
                <c:pt idx="80">
                  <c:v>5</c:v>
                </c:pt>
                <c:pt idx="81">
                  <c:v>8</c:v>
                </c:pt>
                <c:pt idx="82">
                  <c:v>6</c:v>
                </c:pt>
                <c:pt idx="83">
                  <c:v>3</c:v>
                </c:pt>
                <c:pt idx="84">
                  <c:v>4</c:v>
                </c:pt>
                <c:pt idx="85">
                  <c:v>9</c:v>
                </c:pt>
                <c:pt idx="86">
                  <c:v>12</c:v>
                </c:pt>
                <c:pt idx="87">
                  <c:v>3</c:v>
                </c:pt>
                <c:pt idx="88">
                  <c:v>9</c:v>
                </c:pt>
                <c:pt idx="89">
                  <c:v>7</c:v>
                </c:pt>
                <c:pt idx="90">
                  <c:v>4</c:v>
                </c:pt>
                <c:pt idx="91">
                  <c:v>6</c:v>
                </c:pt>
                <c:pt idx="92">
                  <c:v>10</c:v>
                </c:pt>
                <c:pt idx="93">
                  <c:v>5</c:v>
                </c:pt>
                <c:pt idx="94">
                  <c:v>3</c:v>
                </c:pt>
                <c:pt idx="95">
                  <c:v>10</c:v>
                </c:pt>
                <c:pt idx="96">
                  <c:v>11</c:v>
                </c:pt>
                <c:pt idx="97">
                  <c:v>2</c:v>
                </c:pt>
                <c:pt idx="98">
                  <c:v>7</c:v>
                </c:pt>
                <c:pt idx="99">
                  <c:v>12</c:v>
                </c:pt>
                <c:pt idx="100">
                  <c:v>10</c:v>
                </c:pt>
              </c:numCache>
            </c:numRef>
          </c:xVal>
          <c:yVal>
            <c:numRef>
              <c:f>[1]Raw_data!$G$2:$G$102</c:f>
              <c:numCache>
                <c:formatCode>General</c:formatCode>
                <c:ptCount val="101"/>
                <c:pt idx="0">
                  <c:v>3.5</c:v>
                </c:pt>
                <c:pt idx="1">
                  <c:v>4.5</c:v>
                </c:pt>
                <c:pt idx="2">
                  <c:v>3</c:v>
                </c:pt>
                <c:pt idx="3">
                  <c:v>5</c:v>
                </c:pt>
                <c:pt idx="4">
                  <c:v>4</c:v>
                </c:pt>
                <c:pt idx="5">
                  <c:v>4.5</c:v>
                </c:pt>
                <c:pt idx="6">
                  <c:v>3.5</c:v>
                </c:pt>
                <c:pt idx="7">
                  <c:v>3</c:v>
                </c:pt>
                <c:pt idx="8">
                  <c:v>4</c:v>
                </c:pt>
                <c:pt idx="9">
                  <c:v>3</c:v>
                </c:pt>
                <c:pt idx="10">
                  <c:v>4.5</c:v>
                </c:pt>
                <c:pt idx="11">
                  <c:v>3.5</c:v>
                </c:pt>
                <c:pt idx="12">
                  <c:v>5</c:v>
                </c:pt>
                <c:pt idx="13">
                  <c:v>4</c:v>
                </c:pt>
                <c:pt idx="14">
                  <c:v>3</c:v>
                </c:pt>
                <c:pt idx="15">
                  <c:v>4</c:v>
                </c:pt>
                <c:pt idx="16">
                  <c:v>5</c:v>
                </c:pt>
                <c:pt idx="17">
                  <c:v>2.5</c:v>
                </c:pt>
                <c:pt idx="18">
                  <c:v>4</c:v>
                </c:pt>
                <c:pt idx="19">
                  <c:v>4.5</c:v>
                </c:pt>
                <c:pt idx="20">
                  <c:v>5</c:v>
                </c:pt>
                <c:pt idx="21">
                  <c:v>4</c:v>
                </c:pt>
                <c:pt idx="22">
                  <c:v>4</c:v>
                </c:pt>
                <c:pt idx="23">
                  <c:v>3.5</c:v>
                </c:pt>
                <c:pt idx="24">
                  <c:v>4</c:v>
                </c:pt>
                <c:pt idx="25">
                  <c:v>4.5</c:v>
                </c:pt>
                <c:pt idx="26">
                  <c:v>5</c:v>
                </c:pt>
                <c:pt idx="27">
                  <c:v>3.5</c:v>
                </c:pt>
                <c:pt idx="28">
                  <c:v>4.5</c:v>
                </c:pt>
                <c:pt idx="29">
                  <c:v>4.5</c:v>
                </c:pt>
                <c:pt idx="30">
                  <c:v>3</c:v>
                </c:pt>
                <c:pt idx="31">
                  <c:v>3.5</c:v>
                </c:pt>
                <c:pt idx="32">
                  <c:v>5</c:v>
                </c:pt>
                <c:pt idx="33">
                  <c:v>4</c:v>
                </c:pt>
                <c:pt idx="34">
                  <c:v>3</c:v>
                </c:pt>
                <c:pt idx="35">
                  <c:v>4.5</c:v>
                </c:pt>
                <c:pt idx="36">
                  <c:v>5</c:v>
                </c:pt>
                <c:pt idx="37">
                  <c:v>3.5</c:v>
                </c:pt>
                <c:pt idx="38">
                  <c:v>4</c:v>
                </c:pt>
                <c:pt idx="39">
                  <c:v>5</c:v>
                </c:pt>
                <c:pt idx="40">
                  <c:v>3.5</c:v>
                </c:pt>
                <c:pt idx="41">
                  <c:v>4</c:v>
                </c:pt>
                <c:pt idx="42">
                  <c:v>4.5</c:v>
                </c:pt>
                <c:pt idx="43">
                  <c:v>3</c:v>
                </c:pt>
                <c:pt idx="44">
                  <c:v>4</c:v>
                </c:pt>
                <c:pt idx="45">
                  <c:v>4.5</c:v>
                </c:pt>
                <c:pt idx="46">
                  <c:v>5</c:v>
                </c:pt>
                <c:pt idx="47">
                  <c:v>3.5</c:v>
                </c:pt>
                <c:pt idx="48">
                  <c:v>4.5</c:v>
                </c:pt>
                <c:pt idx="49">
                  <c:v>4</c:v>
                </c:pt>
                <c:pt idx="50">
                  <c:v>3</c:v>
                </c:pt>
                <c:pt idx="51">
                  <c:v>4</c:v>
                </c:pt>
                <c:pt idx="52">
                  <c:v>5</c:v>
                </c:pt>
                <c:pt idx="53">
                  <c:v>3</c:v>
                </c:pt>
                <c:pt idx="54">
                  <c:v>3.5</c:v>
                </c:pt>
                <c:pt idx="55">
                  <c:v>4.5</c:v>
                </c:pt>
                <c:pt idx="56">
                  <c:v>5</c:v>
                </c:pt>
                <c:pt idx="57">
                  <c:v>2.5</c:v>
                </c:pt>
                <c:pt idx="58">
                  <c:v>4</c:v>
                </c:pt>
                <c:pt idx="59">
                  <c:v>4.5</c:v>
                </c:pt>
                <c:pt idx="60">
                  <c:v>3.5</c:v>
                </c:pt>
                <c:pt idx="61">
                  <c:v>4.5</c:v>
                </c:pt>
                <c:pt idx="62">
                  <c:v>4</c:v>
                </c:pt>
                <c:pt idx="63">
                  <c:v>3</c:v>
                </c:pt>
                <c:pt idx="64">
                  <c:v>4</c:v>
                </c:pt>
                <c:pt idx="65">
                  <c:v>4.5</c:v>
                </c:pt>
                <c:pt idx="66">
                  <c:v>5</c:v>
                </c:pt>
                <c:pt idx="67">
                  <c:v>3.5</c:v>
                </c:pt>
                <c:pt idx="68">
                  <c:v>4.5</c:v>
                </c:pt>
                <c:pt idx="69">
                  <c:v>4.5</c:v>
                </c:pt>
                <c:pt idx="70">
                  <c:v>3</c:v>
                </c:pt>
                <c:pt idx="71">
                  <c:v>4</c:v>
                </c:pt>
                <c:pt idx="72">
                  <c:v>5</c:v>
                </c:pt>
                <c:pt idx="73">
                  <c:v>4</c:v>
                </c:pt>
                <c:pt idx="74">
                  <c:v>3.5</c:v>
                </c:pt>
                <c:pt idx="75">
                  <c:v>4.5</c:v>
                </c:pt>
                <c:pt idx="76">
                  <c:v>5</c:v>
                </c:pt>
                <c:pt idx="77">
                  <c:v>3</c:v>
                </c:pt>
                <c:pt idx="78">
                  <c:v>4</c:v>
                </c:pt>
                <c:pt idx="79">
                  <c:v>5</c:v>
                </c:pt>
                <c:pt idx="80">
                  <c:v>4</c:v>
                </c:pt>
                <c:pt idx="81">
                  <c:v>4.5</c:v>
                </c:pt>
                <c:pt idx="82">
                  <c:v>4</c:v>
                </c:pt>
                <c:pt idx="83">
                  <c:v>3.5</c:v>
                </c:pt>
                <c:pt idx="84">
                  <c:v>3.5</c:v>
                </c:pt>
                <c:pt idx="85">
                  <c:v>4.5</c:v>
                </c:pt>
                <c:pt idx="86">
                  <c:v>5</c:v>
                </c:pt>
                <c:pt idx="87">
                  <c:v>3.5</c:v>
                </c:pt>
                <c:pt idx="88">
                  <c:v>5</c:v>
                </c:pt>
                <c:pt idx="89">
                  <c:v>4.5</c:v>
                </c:pt>
                <c:pt idx="90">
                  <c:v>3</c:v>
                </c:pt>
                <c:pt idx="91">
                  <c:v>4</c:v>
                </c:pt>
                <c:pt idx="92">
                  <c:v>5</c:v>
                </c:pt>
                <c:pt idx="93">
                  <c:v>4</c:v>
                </c:pt>
                <c:pt idx="94">
                  <c:v>3.5</c:v>
                </c:pt>
                <c:pt idx="95">
                  <c:v>5</c:v>
                </c:pt>
                <c:pt idx="96">
                  <c:v>5</c:v>
                </c:pt>
                <c:pt idx="97">
                  <c:v>3</c:v>
                </c:pt>
                <c:pt idx="98">
                  <c:v>4</c:v>
                </c:pt>
                <c:pt idx="99">
                  <c:v>5</c:v>
                </c:pt>
                <c:pt idx="100">
                  <c:v>5</c:v>
                </c:pt>
              </c:numCache>
            </c:numRef>
          </c:yVal>
          <c:smooth val="0"/>
          <c:extLst>
            <c:ext xmlns:c16="http://schemas.microsoft.com/office/drawing/2014/chart" uri="{C3380CC4-5D6E-409C-BE32-E72D297353CC}">
              <c16:uniqueId val="{00000002-6590-4DD5-B395-F7248C544212}"/>
            </c:ext>
          </c:extLst>
        </c:ser>
        <c:dLbls>
          <c:showLegendKey val="0"/>
          <c:showVal val="0"/>
          <c:showCatName val="0"/>
          <c:showSerName val="0"/>
          <c:showPercent val="0"/>
          <c:showBubbleSize val="0"/>
        </c:dLbls>
        <c:axId val="1062188767"/>
        <c:axId val="1062185887"/>
      </c:scatterChart>
      <c:valAx>
        <c:axId val="1062188767"/>
        <c:scaling>
          <c:orientation val="minMax"/>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a:solidFill>
                      <a:schemeClr val="accent1"/>
                    </a:solidFill>
                    <a:latin typeface="Times New Roman" panose="02020603050405020304" pitchFamily="18" charset="0"/>
                    <a:cs typeface="Times New Roman" panose="02020603050405020304" pitchFamily="18" charset="0"/>
                  </a:rPr>
                  <a:t>Experiance (Years)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185887"/>
        <c:crosses val="autoZero"/>
        <c:crossBetween val="midCat"/>
        <c:majorUnit val="1"/>
      </c:valAx>
      <c:valAx>
        <c:axId val="1062185887"/>
        <c:scaling>
          <c:orientation val="minMax"/>
          <c:min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8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IN" sz="1400">
                    <a:solidFill>
                      <a:schemeClr val="accent1"/>
                    </a:solidFill>
                    <a:latin typeface="Times New Roman" panose="02020603050405020304" pitchFamily="18" charset="0"/>
                    <a:cs typeface="Times New Roman" panose="02020603050405020304" pitchFamily="18" charset="0"/>
                  </a:rPr>
                  <a:t>Performance</a:t>
                </a:r>
                <a:r>
                  <a:rPr lang="en-IN" sz="1400" baseline="0">
                    <a:solidFill>
                      <a:schemeClr val="accent1"/>
                    </a:solidFill>
                    <a:latin typeface="Times New Roman" panose="02020603050405020304" pitchFamily="18" charset="0"/>
                    <a:cs typeface="Times New Roman" panose="02020603050405020304" pitchFamily="18" charset="0"/>
                  </a:rPr>
                  <a:t> Rating</a:t>
                </a:r>
                <a:endParaRPr lang="en-IN" sz="1400">
                  <a:solidFill>
                    <a:schemeClr val="accent1"/>
                  </a:solidFill>
                  <a:latin typeface="Times New Roman" panose="02020603050405020304" pitchFamily="18" charset="0"/>
                  <a:cs typeface="Times New Roman" panose="02020603050405020304" pitchFamily="18" charset="0"/>
                </a:endParaRPr>
              </a:p>
            </c:rich>
          </c:tx>
          <c:layout>
            <c:manualLayout>
              <c:xMode val="edge"/>
              <c:yMode val="edge"/>
              <c:x val="3.4431838515581084E-2"/>
              <c:y val="0.19261763047300556"/>
            </c:manualLayout>
          </c:layout>
          <c:overlay val="0"/>
          <c:spPr>
            <a:noFill/>
            <a:ln>
              <a:noFill/>
            </a:ln>
            <a:effectLst/>
          </c:spPr>
          <c:txPr>
            <a:bodyPr rot="-5400000" spcFirstLastPara="1" vertOverflow="ellipsis" vert="horz" wrap="square" anchor="ctr" anchorCtr="1"/>
            <a:lstStyle/>
            <a:p>
              <a:pPr>
                <a:defRPr sz="18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18876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solidFill>
                  <a:schemeClr val="accent1"/>
                </a:solidFill>
                <a:latin typeface="Times New Roman" panose="02020603050405020304" pitchFamily="18" charset="0"/>
                <a:cs typeface="Times New Roman" panose="02020603050405020304" pitchFamily="18" charset="0"/>
              </a:rPr>
              <a:t>Employee</a:t>
            </a:r>
            <a:r>
              <a:rPr lang="en-US" sz="1800" baseline="0">
                <a:solidFill>
                  <a:schemeClr val="accent1"/>
                </a:solidFill>
                <a:latin typeface="Times New Roman" panose="02020603050405020304" pitchFamily="18" charset="0"/>
                <a:cs typeface="Times New Roman" panose="02020603050405020304" pitchFamily="18" charset="0"/>
              </a:rPr>
              <a:t> Salary Distribution</a:t>
            </a:r>
            <a:endParaRPr lang="en-US" sz="1800">
              <a:solidFill>
                <a:schemeClr val="accent1"/>
              </a:solidFill>
              <a:latin typeface="Times New Roman" panose="02020603050405020304" pitchFamily="18" charset="0"/>
              <a:cs typeface="Times New Roman" panose="02020603050405020304" pitchFamily="18" charset="0"/>
            </a:endParaRPr>
          </a:p>
        </c:rich>
      </c:tx>
      <c:layout>
        <c:manualLayout>
          <c:xMode val="edge"/>
          <c:yMode val="edge"/>
          <c:x val="0.19011378208030516"/>
          <c:y val="2.96988787587539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1. 35000-49999</c:v>
              </c:pt>
              <c:pt idx="1">
                <c:v>2. 50000-64999</c:v>
              </c:pt>
              <c:pt idx="2">
                <c:v>3. 65000-79999</c:v>
              </c:pt>
              <c:pt idx="3">
                <c:v>4. 80000-94999</c:v>
              </c:pt>
              <c:pt idx="4">
                <c:v>5. 95000-109999</c:v>
              </c:pt>
              <c:pt idx="5">
                <c:v>6. 110000-124999</c:v>
              </c:pt>
            </c:strLit>
          </c:cat>
          <c:val>
            <c:numLit>
              <c:formatCode>General</c:formatCode>
              <c:ptCount val="6"/>
              <c:pt idx="0">
                <c:v>23</c:v>
              </c:pt>
              <c:pt idx="1">
                <c:v>27</c:v>
              </c:pt>
              <c:pt idx="2">
                <c:v>24</c:v>
              </c:pt>
              <c:pt idx="3">
                <c:v>17</c:v>
              </c:pt>
              <c:pt idx="4">
                <c:v>8</c:v>
              </c:pt>
              <c:pt idx="5">
                <c:v>2</c:v>
              </c:pt>
            </c:numLit>
          </c:val>
          <c:extLst>
            <c:ext xmlns:c16="http://schemas.microsoft.com/office/drawing/2014/chart" uri="{C3380CC4-5D6E-409C-BE32-E72D297353CC}">
              <c16:uniqueId val="{00000000-16CB-4707-8A15-4D8BE1AB3E3D}"/>
            </c:ext>
          </c:extLst>
        </c:ser>
        <c:dLbls>
          <c:dLblPos val="outEnd"/>
          <c:showLegendKey val="0"/>
          <c:showVal val="1"/>
          <c:showCatName val="0"/>
          <c:showSerName val="0"/>
          <c:showPercent val="0"/>
          <c:showBubbleSize val="0"/>
        </c:dLbls>
        <c:gapWidth val="182"/>
        <c:axId val="590746191"/>
        <c:axId val="590746671"/>
      </c:barChart>
      <c:catAx>
        <c:axId val="59074619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746671"/>
        <c:crosses val="autoZero"/>
        <c:auto val="1"/>
        <c:lblAlgn val="ctr"/>
        <c:lblOffset val="100"/>
        <c:noMultiLvlLbl val="0"/>
      </c:catAx>
      <c:valAx>
        <c:axId val="5907466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746191"/>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IN" sz="1400" b="1">
                <a:latin typeface="Times New Roman" panose="02020603050405020304" pitchFamily="18" charset="0"/>
                <a:cs typeface="Times New Roman" panose="02020603050405020304" pitchFamily="18" charset="0"/>
              </a:rPr>
              <a:t>Salary</a:t>
            </a:r>
            <a:r>
              <a:rPr lang="en-IN" sz="1400" b="1" baseline="0">
                <a:latin typeface="Times New Roman" panose="02020603050405020304" pitchFamily="18" charset="0"/>
                <a:cs typeface="Times New Roman" panose="02020603050405020304" pitchFamily="18" charset="0"/>
              </a:rPr>
              <a:t> vs Experience</a:t>
            </a:r>
            <a:endParaRPr lang="en-IN" sz="14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IN"/>
        </a:p>
      </c:txPr>
    </c:title>
    <c:autoTitleDeleted val="0"/>
    <c:plotArea>
      <c:layout>
        <c:manualLayout>
          <c:layoutTarget val="inner"/>
          <c:xMode val="edge"/>
          <c:yMode val="edge"/>
          <c:x val="0.14763990220268858"/>
          <c:y val="0.11225102250872626"/>
          <c:w val="0.77494131036782754"/>
          <c:h val="0.74801114505572042"/>
        </c:manualLayout>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0"/>
            <c:trendlineLbl>
              <c:layout>
                <c:manualLayout>
                  <c:x val="6.7505287395831878E-2"/>
                  <c:y val="-0.10393180695071041"/>
                </c:manualLayout>
              </c:layout>
              <c:numFmt formatCode="General" sourceLinked="0"/>
              <c:spPr>
                <a:noFill/>
                <a:ln>
                  <a:noFill/>
                </a:ln>
                <a:effectLst/>
              </c:spPr>
              <c:txPr>
                <a:bodyPr rot="0" spcFirstLastPara="1" vertOverflow="ellipsis" vert="horz" wrap="square" anchor="ctr" anchorCtr="1"/>
                <a:lstStyle/>
                <a:p>
                  <a:pPr>
                    <a:defRPr sz="1200" b="0" i="0" u="none" strike="noStrike" kern="1200" baseline="0">
                      <a:solidFill>
                        <a:schemeClr val="accent1"/>
                      </a:solidFill>
                      <a:latin typeface="Times New Roman" panose="02020603050405020304" pitchFamily="18" charset="0"/>
                      <a:ea typeface="+mn-ea"/>
                      <a:cs typeface="Times New Roman" panose="02020603050405020304" pitchFamily="18" charset="0"/>
                    </a:defRPr>
                  </a:pPr>
                  <a:endParaRPr lang="en-US"/>
                </a:p>
              </c:txPr>
            </c:trendlineLbl>
          </c:trendline>
          <c:xVal>
            <c:numRef>
              <c:f>[1]Raw_data!$F$2:$F$102</c:f>
              <c:numCache>
                <c:formatCode>General</c:formatCode>
                <c:ptCount val="101"/>
                <c:pt idx="0">
                  <c:v>3</c:v>
                </c:pt>
                <c:pt idx="1">
                  <c:v>6</c:v>
                </c:pt>
                <c:pt idx="2">
                  <c:v>2</c:v>
                </c:pt>
                <c:pt idx="3">
                  <c:v>8</c:v>
                </c:pt>
                <c:pt idx="4">
                  <c:v>5</c:v>
                </c:pt>
                <c:pt idx="5">
                  <c:v>7</c:v>
                </c:pt>
                <c:pt idx="6">
                  <c:v>4</c:v>
                </c:pt>
                <c:pt idx="7">
                  <c:v>3</c:v>
                </c:pt>
                <c:pt idx="8">
                  <c:v>5</c:v>
                </c:pt>
                <c:pt idx="9">
                  <c:v>3</c:v>
                </c:pt>
                <c:pt idx="10">
                  <c:v>9</c:v>
                </c:pt>
                <c:pt idx="11">
                  <c:v>4</c:v>
                </c:pt>
                <c:pt idx="12">
                  <c:v>8</c:v>
                </c:pt>
                <c:pt idx="13">
                  <c:v>3</c:v>
                </c:pt>
                <c:pt idx="14">
                  <c:v>5</c:v>
                </c:pt>
                <c:pt idx="15">
                  <c:v>5</c:v>
                </c:pt>
                <c:pt idx="16">
                  <c:v>12</c:v>
                </c:pt>
                <c:pt idx="17">
                  <c:v>1</c:v>
                </c:pt>
                <c:pt idx="18">
                  <c:v>7</c:v>
                </c:pt>
                <c:pt idx="19">
                  <c:v>9</c:v>
                </c:pt>
                <c:pt idx="20">
                  <c:v>8</c:v>
                </c:pt>
                <c:pt idx="21">
                  <c:v>5</c:v>
                </c:pt>
                <c:pt idx="22">
                  <c:v>6</c:v>
                </c:pt>
                <c:pt idx="23">
                  <c:v>4</c:v>
                </c:pt>
                <c:pt idx="24">
                  <c:v>5</c:v>
                </c:pt>
                <c:pt idx="25">
                  <c:v>10</c:v>
                </c:pt>
                <c:pt idx="26">
                  <c:v>11</c:v>
                </c:pt>
                <c:pt idx="27">
                  <c:v>4</c:v>
                </c:pt>
                <c:pt idx="28">
                  <c:v>6</c:v>
                </c:pt>
                <c:pt idx="29">
                  <c:v>7</c:v>
                </c:pt>
                <c:pt idx="30">
                  <c:v>2</c:v>
                </c:pt>
                <c:pt idx="31">
                  <c:v>4</c:v>
                </c:pt>
                <c:pt idx="32">
                  <c:v>10</c:v>
                </c:pt>
                <c:pt idx="33">
                  <c:v>6</c:v>
                </c:pt>
                <c:pt idx="34">
                  <c:v>3</c:v>
                </c:pt>
                <c:pt idx="35">
                  <c:v>6</c:v>
                </c:pt>
                <c:pt idx="36">
                  <c:v>9</c:v>
                </c:pt>
                <c:pt idx="37">
                  <c:v>2</c:v>
                </c:pt>
                <c:pt idx="38">
                  <c:v>6</c:v>
                </c:pt>
                <c:pt idx="39">
                  <c:v>12</c:v>
                </c:pt>
                <c:pt idx="40">
                  <c:v>4</c:v>
                </c:pt>
                <c:pt idx="41">
                  <c:v>6</c:v>
                </c:pt>
                <c:pt idx="42">
                  <c:v>7</c:v>
                </c:pt>
                <c:pt idx="43">
                  <c:v>2</c:v>
                </c:pt>
                <c:pt idx="44">
                  <c:v>5</c:v>
                </c:pt>
                <c:pt idx="45">
                  <c:v>8</c:v>
                </c:pt>
                <c:pt idx="46">
                  <c:v>9</c:v>
                </c:pt>
                <c:pt idx="47">
                  <c:v>3</c:v>
                </c:pt>
                <c:pt idx="48">
                  <c:v>7</c:v>
                </c:pt>
                <c:pt idx="49">
                  <c:v>6</c:v>
                </c:pt>
                <c:pt idx="50">
                  <c:v>3</c:v>
                </c:pt>
                <c:pt idx="51">
                  <c:v>5</c:v>
                </c:pt>
                <c:pt idx="52">
                  <c:v>11</c:v>
                </c:pt>
                <c:pt idx="53">
                  <c:v>2</c:v>
                </c:pt>
                <c:pt idx="54">
                  <c:v>4</c:v>
                </c:pt>
                <c:pt idx="55">
                  <c:v>8</c:v>
                </c:pt>
                <c:pt idx="56">
                  <c:v>10</c:v>
                </c:pt>
                <c:pt idx="57">
                  <c:v>1</c:v>
                </c:pt>
                <c:pt idx="58">
                  <c:v>7</c:v>
                </c:pt>
                <c:pt idx="59">
                  <c:v>8</c:v>
                </c:pt>
                <c:pt idx="60">
                  <c:v>5</c:v>
                </c:pt>
                <c:pt idx="61">
                  <c:v>8</c:v>
                </c:pt>
                <c:pt idx="62">
                  <c:v>4</c:v>
                </c:pt>
                <c:pt idx="63">
                  <c:v>3</c:v>
                </c:pt>
                <c:pt idx="64">
                  <c:v>6</c:v>
                </c:pt>
                <c:pt idx="65">
                  <c:v>9</c:v>
                </c:pt>
                <c:pt idx="66">
                  <c:v>10</c:v>
                </c:pt>
                <c:pt idx="67">
                  <c:v>4</c:v>
                </c:pt>
                <c:pt idx="68">
                  <c:v>8</c:v>
                </c:pt>
                <c:pt idx="69">
                  <c:v>7</c:v>
                </c:pt>
                <c:pt idx="70">
                  <c:v>2</c:v>
                </c:pt>
                <c:pt idx="71">
                  <c:v>5</c:v>
                </c:pt>
                <c:pt idx="72">
                  <c:v>13</c:v>
                </c:pt>
                <c:pt idx="73">
                  <c:v>6</c:v>
                </c:pt>
                <c:pt idx="74">
                  <c:v>3</c:v>
                </c:pt>
                <c:pt idx="75">
                  <c:v>7</c:v>
                </c:pt>
                <c:pt idx="76">
                  <c:v>9</c:v>
                </c:pt>
                <c:pt idx="77">
                  <c:v>2</c:v>
                </c:pt>
                <c:pt idx="78">
                  <c:v>5</c:v>
                </c:pt>
                <c:pt idx="79">
                  <c:v>11</c:v>
                </c:pt>
                <c:pt idx="80">
                  <c:v>5</c:v>
                </c:pt>
                <c:pt idx="81">
                  <c:v>8</c:v>
                </c:pt>
                <c:pt idx="82">
                  <c:v>6</c:v>
                </c:pt>
                <c:pt idx="83">
                  <c:v>3</c:v>
                </c:pt>
                <c:pt idx="84">
                  <c:v>4</c:v>
                </c:pt>
                <c:pt idx="85">
                  <c:v>9</c:v>
                </c:pt>
                <c:pt idx="86">
                  <c:v>12</c:v>
                </c:pt>
                <c:pt idx="87">
                  <c:v>3</c:v>
                </c:pt>
                <c:pt idx="88">
                  <c:v>9</c:v>
                </c:pt>
                <c:pt idx="89">
                  <c:v>7</c:v>
                </c:pt>
                <c:pt idx="90">
                  <c:v>4</c:v>
                </c:pt>
                <c:pt idx="91">
                  <c:v>6</c:v>
                </c:pt>
                <c:pt idx="92">
                  <c:v>10</c:v>
                </c:pt>
                <c:pt idx="93">
                  <c:v>5</c:v>
                </c:pt>
                <c:pt idx="94">
                  <c:v>3</c:v>
                </c:pt>
                <c:pt idx="95">
                  <c:v>10</c:v>
                </c:pt>
                <c:pt idx="96">
                  <c:v>11</c:v>
                </c:pt>
                <c:pt idx="97">
                  <c:v>2</c:v>
                </c:pt>
                <c:pt idx="98">
                  <c:v>7</c:v>
                </c:pt>
                <c:pt idx="99">
                  <c:v>12</c:v>
                </c:pt>
                <c:pt idx="100">
                  <c:v>10</c:v>
                </c:pt>
              </c:numCache>
            </c:numRef>
          </c:xVal>
          <c:yVal>
            <c:numRef>
              <c:f>[1]Raw_data!$E$2:$E$102</c:f>
              <c:numCache>
                <c:formatCode>General</c:formatCode>
                <c:ptCount val="101"/>
                <c:pt idx="0">
                  <c:v>45000</c:v>
                </c:pt>
                <c:pt idx="1">
                  <c:v>65000</c:v>
                </c:pt>
                <c:pt idx="2">
                  <c:v>38000</c:v>
                </c:pt>
                <c:pt idx="3">
                  <c:v>72000</c:v>
                </c:pt>
                <c:pt idx="4">
                  <c:v>55000</c:v>
                </c:pt>
                <c:pt idx="5">
                  <c:v>85000</c:v>
                </c:pt>
                <c:pt idx="6">
                  <c:v>42000</c:v>
                </c:pt>
                <c:pt idx="7">
                  <c:v>49000</c:v>
                </c:pt>
                <c:pt idx="8">
                  <c:v>60000</c:v>
                </c:pt>
                <c:pt idx="9">
                  <c:v>40000</c:v>
                </c:pt>
                <c:pt idx="10">
                  <c:v>78000</c:v>
                </c:pt>
                <c:pt idx="11">
                  <c:v>58000</c:v>
                </c:pt>
                <c:pt idx="12">
                  <c:v>90000</c:v>
                </c:pt>
                <c:pt idx="13">
                  <c:v>52000</c:v>
                </c:pt>
                <c:pt idx="14">
                  <c:v>47000</c:v>
                </c:pt>
                <c:pt idx="15">
                  <c:v>62000</c:v>
                </c:pt>
                <c:pt idx="16">
                  <c:v>110000</c:v>
                </c:pt>
                <c:pt idx="17">
                  <c:v>36000</c:v>
                </c:pt>
                <c:pt idx="18">
                  <c:v>63000</c:v>
                </c:pt>
                <c:pt idx="19">
                  <c:v>88000</c:v>
                </c:pt>
                <c:pt idx="20">
                  <c:v>75000</c:v>
                </c:pt>
                <c:pt idx="21">
                  <c:v>64000</c:v>
                </c:pt>
                <c:pt idx="22">
                  <c:v>67000</c:v>
                </c:pt>
                <c:pt idx="23">
                  <c:v>43000</c:v>
                </c:pt>
                <c:pt idx="24">
                  <c:v>59000</c:v>
                </c:pt>
                <c:pt idx="25">
                  <c:v>81000</c:v>
                </c:pt>
                <c:pt idx="26">
                  <c:v>93000</c:v>
                </c:pt>
                <c:pt idx="27">
                  <c:v>56000</c:v>
                </c:pt>
                <c:pt idx="28">
                  <c:v>68000</c:v>
                </c:pt>
                <c:pt idx="29">
                  <c:v>71000</c:v>
                </c:pt>
                <c:pt idx="30">
                  <c:v>39000</c:v>
                </c:pt>
                <c:pt idx="31">
                  <c:v>54000</c:v>
                </c:pt>
                <c:pt idx="32">
                  <c:v>102000</c:v>
                </c:pt>
                <c:pt idx="33">
                  <c:v>61000</c:v>
                </c:pt>
                <c:pt idx="34">
                  <c:v>46000</c:v>
                </c:pt>
                <c:pt idx="35">
                  <c:v>70000</c:v>
                </c:pt>
                <c:pt idx="36">
                  <c:v>84000</c:v>
                </c:pt>
                <c:pt idx="37">
                  <c:v>41000</c:v>
                </c:pt>
                <c:pt idx="38">
                  <c:v>69000</c:v>
                </c:pt>
                <c:pt idx="39">
                  <c:v>97000</c:v>
                </c:pt>
                <c:pt idx="40">
                  <c:v>50000</c:v>
                </c:pt>
                <c:pt idx="41">
                  <c:v>70000</c:v>
                </c:pt>
                <c:pt idx="42">
                  <c:v>76000</c:v>
                </c:pt>
                <c:pt idx="43">
                  <c:v>37000</c:v>
                </c:pt>
                <c:pt idx="44">
                  <c:v>53000</c:v>
                </c:pt>
                <c:pt idx="45">
                  <c:v>74000</c:v>
                </c:pt>
                <c:pt idx="46">
                  <c:v>89000</c:v>
                </c:pt>
                <c:pt idx="47">
                  <c:v>57000</c:v>
                </c:pt>
                <c:pt idx="48">
                  <c:v>71000</c:v>
                </c:pt>
                <c:pt idx="49">
                  <c:v>66000</c:v>
                </c:pt>
                <c:pt idx="50">
                  <c:v>44000</c:v>
                </c:pt>
                <c:pt idx="51">
                  <c:v>60000</c:v>
                </c:pt>
                <c:pt idx="52">
                  <c:v>108000</c:v>
                </c:pt>
                <c:pt idx="53">
                  <c:v>48000</c:v>
                </c:pt>
                <c:pt idx="54">
                  <c:v>51000</c:v>
                </c:pt>
                <c:pt idx="55">
                  <c:v>73000</c:v>
                </c:pt>
                <c:pt idx="56">
                  <c:v>91000</c:v>
                </c:pt>
                <c:pt idx="57">
                  <c:v>35000</c:v>
                </c:pt>
                <c:pt idx="58">
                  <c:v>68000</c:v>
                </c:pt>
                <c:pt idx="59">
                  <c:v>86000</c:v>
                </c:pt>
                <c:pt idx="60">
                  <c:v>55000</c:v>
                </c:pt>
                <c:pt idx="61">
                  <c:v>76000</c:v>
                </c:pt>
                <c:pt idx="62">
                  <c:v>62000</c:v>
                </c:pt>
                <c:pt idx="63">
                  <c:v>45000</c:v>
                </c:pt>
                <c:pt idx="64">
                  <c:v>58000</c:v>
                </c:pt>
                <c:pt idx="65">
                  <c:v>77000</c:v>
                </c:pt>
                <c:pt idx="66">
                  <c:v>99000</c:v>
                </c:pt>
                <c:pt idx="67">
                  <c:v>53000</c:v>
                </c:pt>
                <c:pt idx="68">
                  <c:v>79000</c:v>
                </c:pt>
                <c:pt idx="69">
                  <c:v>73000</c:v>
                </c:pt>
                <c:pt idx="70">
                  <c:v>40000</c:v>
                </c:pt>
                <c:pt idx="71">
                  <c:v>65000</c:v>
                </c:pt>
                <c:pt idx="72">
                  <c:v>112000</c:v>
                </c:pt>
                <c:pt idx="73">
                  <c:v>59000</c:v>
                </c:pt>
                <c:pt idx="74">
                  <c:v>47000</c:v>
                </c:pt>
                <c:pt idx="75">
                  <c:v>82000</c:v>
                </c:pt>
                <c:pt idx="76">
                  <c:v>83000</c:v>
                </c:pt>
                <c:pt idx="77">
                  <c:v>38000</c:v>
                </c:pt>
                <c:pt idx="78">
                  <c:v>56000</c:v>
                </c:pt>
                <c:pt idx="79">
                  <c:v>94000</c:v>
                </c:pt>
                <c:pt idx="80">
                  <c:v>62000</c:v>
                </c:pt>
                <c:pt idx="81">
                  <c:v>85000</c:v>
                </c:pt>
                <c:pt idx="82">
                  <c:v>69000</c:v>
                </c:pt>
                <c:pt idx="83">
                  <c:v>42000</c:v>
                </c:pt>
                <c:pt idx="84">
                  <c:v>54000</c:v>
                </c:pt>
                <c:pt idx="85">
                  <c:v>80000</c:v>
                </c:pt>
                <c:pt idx="86">
                  <c:v>105000</c:v>
                </c:pt>
                <c:pt idx="87">
                  <c:v>51000</c:v>
                </c:pt>
                <c:pt idx="88">
                  <c:v>87000</c:v>
                </c:pt>
                <c:pt idx="89">
                  <c:v>74000</c:v>
                </c:pt>
                <c:pt idx="90">
                  <c:v>46000</c:v>
                </c:pt>
                <c:pt idx="91">
                  <c:v>63000</c:v>
                </c:pt>
                <c:pt idx="92">
                  <c:v>98000</c:v>
                </c:pt>
                <c:pt idx="93">
                  <c:v>60000</c:v>
                </c:pt>
                <c:pt idx="94">
                  <c:v>49000</c:v>
                </c:pt>
                <c:pt idx="95">
                  <c:v>90000</c:v>
                </c:pt>
                <c:pt idx="96">
                  <c:v>92000</c:v>
                </c:pt>
                <c:pt idx="97">
                  <c:v>39000</c:v>
                </c:pt>
                <c:pt idx="98">
                  <c:v>67000</c:v>
                </c:pt>
                <c:pt idx="99">
                  <c:v>103000</c:v>
                </c:pt>
                <c:pt idx="100">
                  <c:v>95000</c:v>
                </c:pt>
              </c:numCache>
            </c:numRef>
          </c:yVal>
          <c:smooth val="0"/>
          <c:extLst>
            <c:ext xmlns:c16="http://schemas.microsoft.com/office/drawing/2014/chart" uri="{C3380CC4-5D6E-409C-BE32-E72D297353CC}">
              <c16:uniqueId val="{00000002-CCDD-44E6-9F38-F0E89C61F7AC}"/>
            </c:ext>
          </c:extLst>
        </c:ser>
        <c:dLbls>
          <c:showLegendKey val="0"/>
          <c:showVal val="0"/>
          <c:showCatName val="0"/>
          <c:showSerName val="0"/>
          <c:showPercent val="0"/>
          <c:showBubbleSize val="0"/>
        </c:dLbls>
        <c:axId val="283487359"/>
        <c:axId val="283487839"/>
      </c:scatterChart>
      <c:valAx>
        <c:axId val="283487359"/>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accent1"/>
                    </a:solidFill>
                    <a:latin typeface="+mn-lt"/>
                    <a:ea typeface="+mn-ea"/>
                    <a:cs typeface="+mn-cs"/>
                  </a:defRPr>
                </a:pPr>
                <a:r>
                  <a:rPr lang="en-IN" sz="1400">
                    <a:solidFill>
                      <a:schemeClr val="accent1"/>
                    </a:solidFill>
                    <a:latin typeface="Times New Roman" panose="02020603050405020304" pitchFamily="18" charset="0"/>
                    <a:cs typeface="Times New Roman" panose="02020603050405020304" pitchFamily="18" charset="0"/>
                  </a:rPr>
                  <a:t>Experience</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accent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283487839"/>
        <c:crosses val="autoZero"/>
        <c:crossBetween val="midCat"/>
      </c:valAx>
      <c:valAx>
        <c:axId val="283487839"/>
        <c:scaling>
          <c:orientation val="minMax"/>
          <c:min val="3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accent1"/>
                    </a:solidFill>
                    <a:latin typeface="Times New Roman" panose="02020603050405020304" pitchFamily="18" charset="0"/>
                    <a:ea typeface="+mn-ea"/>
                    <a:cs typeface="Times New Roman" panose="02020603050405020304" pitchFamily="18" charset="0"/>
                  </a:defRPr>
                </a:pPr>
                <a:r>
                  <a:rPr lang="en-IN" sz="1400">
                    <a:solidFill>
                      <a:schemeClr val="accent1"/>
                    </a:solidFill>
                    <a:latin typeface="Times New Roman" panose="02020603050405020304" pitchFamily="18" charset="0"/>
                    <a:cs typeface="Times New Roman" panose="02020603050405020304" pitchFamily="18" charset="0"/>
                  </a:rPr>
                  <a:t>Salary</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accent1"/>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28348735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400" b="1">
                <a:latin typeface="Times New Roman" panose="02020603050405020304" pitchFamily="18" charset="0"/>
                <a:cs typeface="Times New Roman" panose="02020603050405020304" pitchFamily="18" charset="0"/>
              </a:rPr>
              <a:t>Salary vs Performance </a:t>
            </a:r>
            <a:r>
              <a:rPr lang="en-IN" sz="1400" b="1" i="0" u="none" strike="noStrike" baseline="0"/>
              <a:t>Rating</a:t>
            </a:r>
            <a:r>
              <a:rPr lang="en-US" sz="1400" b="1">
                <a:latin typeface="Times New Roman" panose="02020603050405020304" pitchFamily="18" charset="0"/>
                <a:cs typeface="Times New Roman" panose="02020603050405020304" pitchFamily="18" charset="0"/>
              </a:rPr>
              <a:t> </a:t>
            </a:r>
          </a:p>
        </c:rich>
      </c:tx>
      <c:layout>
        <c:manualLayout>
          <c:xMode val="edge"/>
          <c:yMode val="edge"/>
          <c:x val="0.28915266841644793"/>
          <c:y val="2.77777777777777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scatterChart>
        <c:scatterStyle val="lineMarker"/>
        <c:varyColors val="0"/>
        <c:ser>
          <c:idx val="0"/>
          <c:order val="0"/>
          <c:tx>
            <c:v>salary vs Performance Rating</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0"/>
            <c:trendlineLbl>
              <c:layout>
                <c:manualLayout>
                  <c:x val="7.6048592175005356E-2"/>
                  <c:y val="-0.20346271254136711"/>
                </c:manualLayout>
              </c:layout>
              <c:numFmt formatCode="General" sourceLinked="0"/>
              <c:spPr>
                <a:noFill/>
                <a:ln>
                  <a:noFill/>
                </a:ln>
                <a:effectLst/>
              </c:spPr>
              <c:txPr>
                <a:bodyPr rot="0" spcFirstLastPara="1" vertOverflow="ellipsis" vert="horz" wrap="square" anchor="ctr" anchorCtr="1"/>
                <a:lstStyle/>
                <a:p>
                  <a:pPr>
                    <a:defRPr sz="1200" b="0" i="0" u="none" strike="noStrike" kern="1200" baseline="0">
                      <a:solidFill>
                        <a:schemeClr val="accent1"/>
                      </a:solidFill>
                      <a:latin typeface="Times New Roman" panose="02020603050405020304" pitchFamily="18" charset="0"/>
                      <a:ea typeface="+mn-ea"/>
                      <a:cs typeface="Times New Roman" panose="02020603050405020304" pitchFamily="18" charset="0"/>
                    </a:defRPr>
                  </a:pPr>
                  <a:endParaRPr lang="en-US"/>
                </a:p>
              </c:txPr>
            </c:trendlineLbl>
          </c:trendline>
          <c:xVal>
            <c:numRef>
              <c:f>[1]Raw_data!$G$2:$G$102</c:f>
              <c:numCache>
                <c:formatCode>General</c:formatCode>
                <c:ptCount val="101"/>
                <c:pt idx="0">
                  <c:v>3.5</c:v>
                </c:pt>
                <c:pt idx="1">
                  <c:v>4.5</c:v>
                </c:pt>
                <c:pt idx="2">
                  <c:v>3</c:v>
                </c:pt>
                <c:pt idx="3">
                  <c:v>5</c:v>
                </c:pt>
                <c:pt idx="4">
                  <c:v>4</c:v>
                </c:pt>
                <c:pt idx="5">
                  <c:v>4.5</c:v>
                </c:pt>
                <c:pt idx="6">
                  <c:v>3.5</c:v>
                </c:pt>
                <c:pt idx="7">
                  <c:v>3</c:v>
                </c:pt>
                <c:pt idx="8">
                  <c:v>4</c:v>
                </c:pt>
                <c:pt idx="9">
                  <c:v>3</c:v>
                </c:pt>
                <c:pt idx="10">
                  <c:v>4.5</c:v>
                </c:pt>
                <c:pt idx="11">
                  <c:v>3.5</c:v>
                </c:pt>
                <c:pt idx="12">
                  <c:v>5</c:v>
                </c:pt>
                <c:pt idx="13">
                  <c:v>4</c:v>
                </c:pt>
                <c:pt idx="14">
                  <c:v>3</c:v>
                </c:pt>
                <c:pt idx="15">
                  <c:v>4</c:v>
                </c:pt>
                <c:pt idx="16">
                  <c:v>5</c:v>
                </c:pt>
                <c:pt idx="17">
                  <c:v>2.5</c:v>
                </c:pt>
                <c:pt idx="18">
                  <c:v>4</c:v>
                </c:pt>
                <c:pt idx="19">
                  <c:v>4.5</c:v>
                </c:pt>
                <c:pt idx="20">
                  <c:v>5</c:v>
                </c:pt>
                <c:pt idx="21">
                  <c:v>4</c:v>
                </c:pt>
                <c:pt idx="22">
                  <c:v>4</c:v>
                </c:pt>
                <c:pt idx="23">
                  <c:v>3.5</c:v>
                </c:pt>
                <c:pt idx="24">
                  <c:v>4</c:v>
                </c:pt>
                <c:pt idx="25">
                  <c:v>4.5</c:v>
                </c:pt>
                <c:pt idx="26">
                  <c:v>5</c:v>
                </c:pt>
                <c:pt idx="27">
                  <c:v>3.5</c:v>
                </c:pt>
                <c:pt idx="28">
                  <c:v>4.5</c:v>
                </c:pt>
                <c:pt idx="29">
                  <c:v>4.5</c:v>
                </c:pt>
                <c:pt idx="30">
                  <c:v>3</c:v>
                </c:pt>
                <c:pt idx="31">
                  <c:v>3.5</c:v>
                </c:pt>
                <c:pt idx="32">
                  <c:v>5</c:v>
                </c:pt>
                <c:pt idx="33">
                  <c:v>4</c:v>
                </c:pt>
                <c:pt idx="34">
                  <c:v>3</c:v>
                </c:pt>
                <c:pt idx="35">
                  <c:v>4.5</c:v>
                </c:pt>
                <c:pt idx="36">
                  <c:v>5</c:v>
                </c:pt>
                <c:pt idx="37">
                  <c:v>3.5</c:v>
                </c:pt>
                <c:pt idx="38">
                  <c:v>4</c:v>
                </c:pt>
                <c:pt idx="39">
                  <c:v>5</c:v>
                </c:pt>
                <c:pt idx="40">
                  <c:v>3.5</c:v>
                </c:pt>
                <c:pt idx="41">
                  <c:v>4</c:v>
                </c:pt>
                <c:pt idx="42">
                  <c:v>4.5</c:v>
                </c:pt>
                <c:pt idx="43">
                  <c:v>3</c:v>
                </c:pt>
                <c:pt idx="44">
                  <c:v>4</c:v>
                </c:pt>
                <c:pt idx="45">
                  <c:v>4.5</c:v>
                </c:pt>
                <c:pt idx="46">
                  <c:v>5</c:v>
                </c:pt>
                <c:pt idx="47">
                  <c:v>3.5</c:v>
                </c:pt>
                <c:pt idx="48">
                  <c:v>4.5</c:v>
                </c:pt>
                <c:pt idx="49">
                  <c:v>4</c:v>
                </c:pt>
                <c:pt idx="50">
                  <c:v>3</c:v>
                </c:pt>
                <c:pt idx="51">
                  <c:v>4</c:v>
                </c:pt>
                <c:pt idx="52">
                  <c:v>5</c:v>
                </c:pt>
                <c:pt idx="53">
                  <c:v>3</c:v>
                </c:pt>
                <c:pt idx="54">
                  <c:v>3.5</c:v>
                </c:pt>
                <c:pt idx="55">
                  <c:v>4.5</c:v>
                </c:pt>
                <c:pt idx="56">
                  <c:v>5</c:v>
                </c:pt>
                <c:pt idx="57">
                  <c:v>2.5</c:v>
                </c:pt>
                <c:pt idx="58">
                  <c:v>4</c:v>
                </c:pt>
                <c:pt idx="59">
                  <c:v>4.5</c:v>
                </c:pt>
                <c:pt idx="60">
                  <c:v>3.5</c:v>
                </c:pt>
                <c:pt idx="61">
                  <c:v>4.5</c:v>
                </c:pt>
                <c:pt idx="62">
                  <c:v>4</c:v>
                </c:pt>
                <c:pt idx="63">
                  <c:v>3</c:v>
                </c:pt>
                <c:pt idx="64">
                  <c:v>4</c:v>
                </c:pt>
                <c:pt idx="65">
                  <c:v>4.5</c:v>
                </c:pt>
                <c:pt idx="66">
                  <c:v>5</c:v>
                </c:pt>
                <c:pt idx="67">
                  <c:v>3.5</c:v>
                </c:pt>
                <c:pt idx="68">
                  <c:v>4.5</c:v>
                </c:pt>
                <c:pt idx="69">
                  <c:v>4.5</c:v>
                </c:pt>
                <c:pt idx="70">
                  <c:v>3</c:v>
                </c:pt>
                <c:pt idx="71">
                  <c:v>4</c:v>
                </c:pt>
                <c:pt idx="72">
                  <c:v>5</c:v>
                </c:pt>
                <c:pt idx="73">
                  <c:v>4</c:v>
                </c:pt>
                <c:pt idx="74">
                  <c:v>3.5</c:v>
                </c:pt>
                <c:pt idx="75">
                  <c:v>4.5</c:v>
                </c:pt>
                <c:pt idx="76">
                  <c:v>5</c:v>
                </c:pt>
                <c:pt idx="77">
                  <c:v>3</c:v>
                </c:pt>
                <c:pt idx="78">
                  <c:v>4</c:v>
                </c:pt>
                <c:pt idx="79">
                  <c:v>5</c:v>
                </c:pt>
                <c:pt idx="80">
                  <c:v>4</c:v>
                </c:pt>
                <c:pt idx="81">
                  <c:v>4.5</c:v>
                </c:pt>
                <c:pt idx="82">
                  <c:v>4</c:v>
                </c:pt>
                <c:pt idx="83">
                  <c:v>3.5</c:v>
                </c:pt>
                <c:pt idx="84">
                  <c:v>3.5</c:v>
                </c:pt>
                <c:pt idx="85">
                  <c:v>4.5</c:v>
                </c:pt>
                <c:pt idx="86">
                  <c:v>5</c:v>
                </c:pt>
                <c:pt idx="87">
                  <c:v>3.5</c:v>
                </c:pt>
                <c:pt idx="88">
                  <c:v>5</c:v>
                </c:pt>
                <c:pt idx="89">
                  <c:v>4.5</c:v>
                </c:pt>
                <c:pt idx="90">
                  <c:v>3</c:v>
                </c:pt>
                <c:pt idx="91">
                  <c:v>4</c:v>
                </c:pt>
                <c:pt idx="92">
                  <c:v>5</c:v>
                </c:pt>
                <c:pt idx="93">
                  <c:v>4</c:v>
                </c:pt>
                <c:pt idx="94">
                  <c:v>3.5</c:v>
                </c:pt>
                <c:pt idx="95">
                  <c:v>5</c:v>
                </c:pt>
                <c:pt idx="96">
                  <c:v>5</c:v>
                </c:pt>
                <c:pt idx="97">
                  <c:v>3</c:v>
                </c:pt>
                <c:pt idx="98">
                  <c:v>4</c:v>
                </c:pt>
                <c:pt idx="99">
                  <c:v>5</c:v>
                </c:pt>
                <c:pt idx="100">
                  <c:v>5</c:v>
                </c:pt>
              </c:numCache>
            </c:numRef>
          </c:xVal>
          <c:yVal>
            <c:numRef>
              <c:f>[1]Raw_data!$E$2:$E$102</c:f>
              <c:numCache>
                <c:formatCode>General</c:formatCode>
                <c:ptCount val="101"/>
                <c:pt idx="0">
                  <c:v>45000</c:v>
                </c:pt>
                <c:pt idx="1">
                  <c:v>65000</c:v>
                </c:pt>
                <c:pt idx="2">
                  <c:v>38000</c:v>
                </c:pt>
                <c:pt idx="3">
                  <c:v>72000</c:v>
                </c:pt>
                <c:pt idx="4">
                  <c:v>55000</c:v>
                </c:pt>
                <c:pt idx="5">
                  <c:v>85000</c:v>
                </c:pt>
                <c:pt idx="6">
                  <c:v>42000</c:v>
                </c:pt>
                <c:pt idx="7">
                  <c:v>49000</c:v>
                </c:pt>
                <c:pt idx="8">
                  <c:v>60000</c:v>
                </c:pt>
                <c:pt idx="9">
                  <c:v>40000</c:v>
                </c:pt>
                <c:pt idx="10">
                  <c:v>78000</c:v>
                </c:pt>
                <c:pt idx="11">
                  <c:v>58000</c:v>
                </c:pt>
                <c:pt idx="12">
                  <c:v>90000</c:v>
                </c:pt>
                <c:pt idx="13">
                  <c:v>52000</c:v>
                </c:pt>
                <c:pt idx="14">
                  <c:v>47000</c:v>
                </c:pt>
                <c:pt idx="15">
                  <c:v>62000</c:v>
                </c:pt>
                <c:pt idx="16">
                  <c:v>110000</c:v>
                </c:pt>
                <c:pt idx="17">
                  <c:v>36000</c:v>
                </c:pt>
                <c:pt idx="18">
                  <c:v>63000</c:v>
                </c:pt>
                <c:pt idx="19">
                  <c:v>88000</c:v>
                </c:pt>
                <c:pt idx="20">
                  <c:v>75000</c:v>
                </c:pt>
                <c:pt idx="21">
                  <c:v>64000</c:v>
                </c:pt>
                <c:pt idx="22">
                  <c:v>67000</c:v>
                </c:pt>
                <c:pt idx="23">
                  <c:v>43000</c:v>
                </c:pt>
                <c:pt idx="24">
                  <c:v>59000</c:v>
                </c:pt>
                <c:pt idx="25">
                  <c:v>81000</c:v>
                </c:pt>
                <c:pt idx="26">
                  <c:v>93000</c:v>
                </c:pt>
                <c:pt idx="27">
                  <c:v>56000</c:v>
                </c:pt>
                <c:pt idx="28">
                  <c:v>68000</c:v>
                </c:pt>
                <c:pt idx="29">
                  <c:v>71000</c:v>
                </c:pt>
                <c:pt idx="30">
                  <c:v>39000</c:v>
                </c:pt>
                <c:pt idx="31">
                  <c:v>54000</c:v>
                </c:pt>
                <c:pt idx="32">
                  <c:v>102000</c:v>
                </c:pt>
                <c:pt idx="33">
                  <c:v>61000</c:v>
                </c:pt>
                <c:pt idx="34">
                  <c:v>46000</c:v>
                </c:pt>
                <c:pt idx="35">
                  <c:v>70000</c:v>
                </c:pt>
                <c:pt idx="36">
                  <c:v>84000</c:v>
                </c:pt>
                <c:pt idx="37">
                  <c:v>41000</c:v>
                </c:pt>
                <c:pt idx="38">
                  <c:v>69000</c:v>
                </c:pt>
                <c:pt idx="39">
                  <c:v>97000</c:v>
                </c:pt>
                <c:pt idx="40">
                  <c:v>50000</c:v>
                </c:pt>
                <c:pt idx="41">
                  <c:v>70000</c:v>
                </c:pt>
                <c:pt idx="42">
                  <c:v>76000</c:v>
                </c:pt>
                <c:pt idx="43">
                  <c:v>37000</c:v>
                </c:pt>
                <c:pt idx="44">
                  <c:v>53000</c:v>
                </c:pt>
                <c:pt idx="45">
                  <c:v>74000</c:v>
                </c:pt>
                <c:pt idx="46">
                  <c:v>89000</c:v>
                </c:pt>
                <c:pt idx="47">
                  <c:v>57000</c:v>
                </c:pt>
                <c:pt idx="48">
                  <c:v>71000</c:v>
                </c:pt>
                <c:pt idx="49">
                  <c:v>66000</c:v>
                </c:pt>
                <c:pt idx="50">
                  <c:v>44000</c:v>
                </c:pt>
                <c:pt idx="51">
                  <c:v>60000</c:v>
                </c:pt>
                <c:pt idx="52">
                  <c:v>108000</c:v>
                </c:pt>
                <c:pt idx="53">
                  <c:v>48000</c:v>
                </c:pt>
                <c:pt idx="54">
                  <c:v>51000</c:v>
                </c:pt>
                <c:pt idx="55">
                  <c:v>73000</c:v>
                </c:pt>
                <c:pt idx="56">
                  <c:v>91000</c:v>
                </c:pt>
                <c:pt idx="57">
                  <c:v>35000</c:v>
                </c:pt>
                <c:pt idx="58">
                  <c:v>68000</c:v>
                </c:pt>
                <c:pt idx="59">
                  <c:v>86000</c:v>
                </c:pt>
                <c:pt idx="60">
                  <c:v>55000</c:v>
                </c:pt>
                <c:pt idx="61">
                  <c:v>76000</c:v>
                </c:pt>
                <c:pt idx="62">
                  <c:v>62000</c:v>
                </c:pt>
                <c:pt idx="63">
                  <c:v>45000</c:v>
                </c:pt>
                <c:pt idx="64">
                  <c:v>58000</c:v>
                </c:pt>
                <c:pt idx="65">
                  <c:v>77000</c:v>
                </c:pt>
                <c:pt idx="66">
                  <c:v>99000</c:v>
                </c:pt>
                <c:pt idx="67">
                  <c:v>53000</c:v>
                </c:pt>
                <c:pt idx="68">
                  <c:v>79000</c:v>
                </c:pt>
                <c:pt idx="69">
                  <c:v>73000</c:v>
                </c:pt>
                <c:pt idx="70">
                  <c:v>40000</c:v>
                </c:pt>
                <c:pt idx="71">
                  <c:v>65000</c:v>
                </c:pt>
                <c:pt idx="72">
                  <c:v>112000</c:v>
                </c:pt>
                <c:pt idx="73">
                  <c:v>59000</c:v>
                </c:pt>
                <c:pt idx="74">
                  <c:v>47000</c:v>
                </c:pt>
                <c:pt idx="75">
                  <c:v>82000</c:v>
                </c:pt>
                <c:pt idx="76">
                  <c:v>83000</c:v>
                </c:pt>
                <c:pt idx="77">
                  <c:v>38000</c:v>
                </c:pt>
                <c:pt idx="78">
                  <c:v>56000</c:v>
                </c:pt>
                <c:pt idx="79">
                  <c:v>94000</c:v>
                </c:pt>
                <c:pt idx="80">
                  <c:v>62000</c:v>
                </c:pt>
                <c:pt idx="81">
                  <c:v>85000</c:v>
                </c:pt>
                <c:pt idx="82">
                  <c:v>69000</c:v>
                </c:pt>
                <c:pt idx="83">
                  <c:v>42000</c:v>
                </c:pt>
                <c:pt idx="84">
                  <c:v>54000</c:v>
                </c:pt>
                <c:pt idx="85">
                  <c:v>80000</c:v>
                </c:pt>
                <c:pt idx="86">
                  <c:v>105000</c:v>
                </c:pt>
                <c:pt idx="87">
                  <c:v>51000</c:v>
                </c:pt>
                <c:pt idx="88">
                  <c:v>87000</c:v>
                </c:pt>
                <c:pt idx="89">
                  <c:v>74000</c:v>
                </c:pt>
                <c:pt idx="90">
                  <c:v>46000</c:v>
                </c:pt>
                <c:pt idx="91">
                  <c:v>63000</c:v>
                </c:pt>
                <c:pt idx="92">
                  <c:v>98000</c:v>
                </c:pt>
                <c:pt idx="93">
                  <c:v>60000</c:v>
                </c:pt>
                <c:pt idx="94">
                  <c:v>49000</c:v>
                </c:pt>
                <c:pt idx="95">
                  <c:v>90000</c:v>
                </c:pt>
                <c:pt idx="96">
                  <c:v>92000</c:v>
                </c:pt>
                <c:pt idx="97">
                  <c:v>39000</c:v>
                </c:pt>
                <c:pt idx="98">
                  <c:v>67000</c:v>
                </c:pt>
                <c:pt idx="99">
                  <c:v>103000</c:v>
                </c:pt>
                <c:pt idx="100">
                  <c:v>95000</c:v>
                </c:pt>
              </c:numCache>
            </c:numRef>
          </c:yVal>
          <c:smooth val="0"/>
          <c:extLst>
            <c:ext xmlns:c16="http://schemas.microsoft.com/office/drawing/2014/chart" uri="{C3380CC4-5D6E-409C-BE32-E72D297353CC}">
              <c16:uniqueId val="{00000003-0D7A-476E-9C63-35A33E1338C6}"/>
            </c:ext>
          </c:extLst>
        </c:ser>
        <c:dLbls>
          <c:showLegendKey val="0"/>
          <c:showVal val="0"/>
          <c:showCatName val="0"/>
          <c:showSerName val="0"/>
          <c:showPercent val="0"/>
          <c:showBubbleSize val="0"/>
        </c:dLbls>
        <c:axId val="194187087"/>
        <c:axId val="194195247"/>
      </c:scatterChart>
      <c:valAx>
        <c:axId val="194187087"/>
        <c:scaling>
          <c:orientation val="minMax"/>
          <c:min val="2"/>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accent1"/>
                    </a:solidFill>
                    <a:latin typeface="Times New Roman" panose="02020603050405020304" pitchFamily="18" charset="0"/>
                    <a:ea typeface="+mn-ea"/>
                    <a:cs typeface="Times New Roman" panose="02020603050405020304" pitchFamily="18" charset="0"/>
                  </a:defRPr>
                </a:pPr>
                <a:r>
                  <a:rPr lang="en-IN" sz="1400">
                    <a:solidFill>
                      <a:schemeClr val="accent1"/>
                    </a:solidFill>
                    <a:latin typeface="Times New Roman" panose="02020603050405020304" pitchFamily="18" charset="0"/>
                    <a:cs typeface="Times New Roman" panose="02020603050405020304" pitchFamily="18" charset="0"/>
                  </a:rPr>
                  <a:t>Performance</a:t>
                </a:r>
                <a:r>
                  <a:rPr lang="en-IN" sz="1400" baseline="0">
                    <a:solidFill>
                      <a:schemeClr val="accent1"/>
                    </a:solidFill>
                    <a:latin typeface="Times New Roman" panose="02020603050405020304" pitchFamily="18" charset="0"/>
                    <a:cs typeface="Times New Roman" panose="02020603050405020304" pitchFamily="18" charset="0"/>
                  </a:rPr>
                  <a:t> Rating</a:t>
                </a:r>
                <a:endParaRPr lang="en-IN" sz="1400">
                  <a:solidFill>
                    <a:schemeClr val="accent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baseline="0">
                  <a:solidFill>
                    <a:schemeClr val="accent1"/>
                  </a:solidFill>
                  <a:latin typeface="Times New Roman" panose="02020603050405020304" pitchFamily="18" charset="0"/>
                  <a:ea typeface="+mn-ea"/>
                  <a:cs typeface="Times New Roman" panose="02020603050405020304" pitchFamily="18" charset="0"/>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95247"/>
        <c:crosses val="autoZero"/>
        <c:crossBetween val="midCat"/>
      </c:valAx>
      <c:valAx>
        <c:axId val="194195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accent1"/>
                    </a:solidFill>
                    <a:latin typeface="+mn-lt"/>
                    <a:ea typeface="+mn-ea"/>
                    <a:cs typeface="+mn-cs"/>
                  </a:defRPr>
                </a:pPr>
                <a:r>
                  <a:rPr lang="en-IN" sz="1400">
                    <a:solidFill>
                      <a:schemeClr val="accent1"/>
                    </a:solidFill>
                    <a:latin typeface="Times New Roman" panose="02020603050405020304" pitchFamily="18" charset="0"/>
                    <a:cs typeface="Times New Roman" panose="02020603050405020304" pitchFamily="18" charset="0"/>
                  </a:rPr>
                  <a:t>Salary</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accent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8708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latin typeface="Times New Roman" panose="02020603050405020304" pitchFamily="18" charset="0"/>
                <a:cs typeface="Times New Roman" panose="02020603050405020304" pitchFamily="18" charset="0"/>
              </a:rPr>
              <a:t>Employee Count by Location</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36163225949981"/>
          <c:y val="0.11487586795927296"/>
          <c:w val="0.79349837603646378"/>
          <c:h val="0.73574084246147531"/>
        </c:manualLayout>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Bengaluru</c:v>
              </c:pt>
              <c:pt idx="1">
                <c:v>Chennai</c:v>
              </c:pt>
              <c:pt idx="2">
                <c:v>Hyderabad</c:v>
              </c:pt>
              <c:pt idx="3">
                <c:v>Mumbai</c:v>
              </c:pt>
              <c:pt idx="4">
                <c:v>Pune</c:v>
              </c:pt>
            </c:strLit>
          </c:cat>
          <c:val>
            <c:numLit>
              <c:formatCode>General</c:formatCode>
              <c:ptCount val="5"/>
              <c:pt idx="0">
                <c:v>20</c:v>
              </c:pt>
              <c:pt idx="1">
                <c:v>29</c:v>
              </c:pt>
              <c:pt idx="2">
                <c:v>19</c:v>
              </c:pt>
              <c:pt idx="3">
                <c:v>14</c:v>
              </c:pt>
              <c:pt idx="4">
                <c:v>19</c:v>
              </c:pt>
            </c:numLit>
          </c:val>
          <c:extLst>
            <c:ext xmlns:c16="http://schemas.microsoft.com/office/drawing/2014/chart" uri="{C3380CC4-5D6E-409C-BE32-E72D297353CC}">
              <c16:uniqueId val="{00000000-0604-41BC-9613-8B918629E15C}"/>
            </c:ext>
          </c:extLst>
        </c:ser>
        <c:dLbls>
          <c:dLblPos val="outEnd"/>
          <c:showLegendKey val="0"/>
          <c:showVal val="1"/>
          <c:showCatName val="0"/>
          <c:showSerName val="0"/>
          <c:showPercent val="0"/>
          <c:showBubbleSize val="0"/>
        </c:dLbls>
        <c:gapWidth val="219"/>
        <c:overlap val="-27"/>
        <c:axId val="1062758191"/>
        <c:axId val="1062759151"/>
      </c:barChart>
      <c:catAx>
        <c:axId val="1062758191"/>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accent1"/>
                    </a:solidFill>
                    <a:latin typeface="Times New Roman" panose="02020603050405020304" pitchFamily="18" charset="0"/>
                    <a:ea typeface="+mn-ea"/>
                    <a:cs typeface="Times New Roman" panose="02020603050405020304" pitchFamily="18" charset="0"/>
                  </a:defRPr>
                </a:pPr>
                <a:r>
                  <a:rPr lang="en-IN" sz="1400">
                    <a:solidFill>
                      <a:schemeClr val="accent1"/>
                    </a:solidFill>
                    <a:latin typeface="Times New Roman" panose="02020603050405020304" pitchFamily="18" charset="0"/>
                    <a:cs typeface="Times New Roman" panose="02020603050405020304" pitchFamily="18" charset="0"/>
                  </a:rPr>
                  <a:t>Location</a:t>
                </a:r>
              </a:p>
            </c:rich>
          </c:tx>
          <c:layout>
            <c:manualLayout>
              <c:xMode val="edge"/>
              <c:yMode val="edge"/>
              <c:x val="0.42646208961009158"/>
              <c:y val="0.92508652010446846"/>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accent1"/>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759151"/>
        <c:crosses val="autoZero"/>
        <c:auto val="1"/>
        <c:lblAlgn val="ctr"/>
        <c:lblOffset val="100"/>
        <c:noMultiLvlLbl val="0"/>
      </c:catAx>
      <c:valAx>
        <c:axId val="10627591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accent1"/>
                    </a:solidFill>
                    <a:latin typeface="Times New Roman" panose="02020603050405020304" pitchFamily="18" charset="0"/>
                    <a:ea typeface="+mn-ea"/>
                    <a:cs typeface="Times New Roman" panose="02020603050405020304" pitchFamily="18" charset="0"/>
                  </a:defRPr>
                </a:pPr>
                <a:r>
                  <a:rPr lang="en-IN" sz="1400">
                    <a:solidFill>
                      <a:schemeClr val="accent1"/>
                    </a:solidFill>
                    <a:latin typeface="Times New Roman" panose="02020603050405020304" pitchFamily="18" charset="0"/>
                    <a:cs typeface="Times New Roman" panose="02020603050405020304" pitchFamily="18" charset="0"/>
                  </a:rPr>
                  <a:t>Employee</a:t>
                </a:r>
                <a:r>
                  <a:rPr lang="en-IN" sz="1400" baseline="0">
                    <a:solidFill>
                      <a:schemeClr val="accent1"/>
                    </a:solidFill>
                    <a:latin typeface="Times New Roman" panose="02020603050405020304" pitchFamily="18" charset="0"/>
                    <a:cs typeface="Times New Roman" panose="02020603050405020304" pitchFamily="18" charset="0"/>
                  </a:rPr>
                  <a:t> Count</a:t>
                </a:r>
                <a:endParaRPr lang="en-IN" sz="1400">
                  <a:solidFill>
                    <a:schemeClr val="accent1"/>
                  </a:solidFill>
                  <a:latin typeface="Times New Roman" panose="02020603050405020304" pitchFamily="18" charset="0"/>
                  <a:cs typeface="Times New Roman" panose="02020603050405020304" pitchFamily="18" charset="0"/>
                </a:endParaRP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accent1"/>
                  </a:solidFill>
                  <a:latin typeface="Times New Roman" panose="02020603050405020304" pitchFamily="18" charset="0"/>
                  <a:ea typeface="+mn-ea"/>
                  <a:cs typeface="Times New Roman" panose="02020603050405020304" pitchFamily="18" charset="0"/>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75819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oneCellAnchor>
    <xdr:from>
      <xdr:col>4</xdr:col>
      <xdr:colOff>235301</xdr:colOff>
      <xdr:row>1</xdr:row>
      <xdr:rowOff>117925</xdr:rowOff>
    </xdr:from>
    <xdr:ext cx="9130641" cy="564193"/>
    <xdr:sp macro="" textlink="">
      <xdr:nvSpPr>
        <xdr:cNvPr id="2" name="Rectangle 1">
          <a:extLst>
            <a:ext uri="{FF2B5EF4-FFF2-40B4-BE49-F238E27FC236}">
              <a16:creationId xmlns:a16="http://schemas.microsoft.com/office/drawing/2014/main" id="{1403E510-57CF-4D02-A48C-4598A73D6C0C}"/>
            </a:ext>
          </a:extLst>
        </xdr:cNvPr>
        <xdr:cNvSpPr/>
      </xdr:nvSpPr>
      <xdr:spPr>
        <a:xfrm>
          <a:off x="2673701" y="300805"/>
          <a:ext cx="9130641" cy="564193"/>
        </a:xfrm>
        <a:prstGeom prst="rect">
          <a:avLst/>
        </a:prstGeom>
        <a:noFill/>
      </xdr:spPr>
      <xdr:txBody>
        <a:bodyPr wrap="none" lIns="91440" tIns="45720" rIns="91440" bIns="45720">
          <a:spAutoFit/>
        </a:bodyPr>
        <a:lstStyle/>
        <a:p>
          <a:pPr algn="ctr"/>
          <a:r>
            <a:rPr lang="en-US" sz="3200" b="0" cap="none" spc="0">
              <a:ln w="0"/>
              <a:solidFill>
                <a:schemeClr val="accent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rPr>
            <a:t>Employee Salary &amp; Performance Analysis Dashboard</a:t>
          </a:r>
        </a:p>
      </xdr:txBody>
    </xdr:sp>
    <xdr:clientData/>
  </xdr:oneCellAnchor>
  <xdr:twoCellAnchor>
    <xdr:from>
      <xdr:col>2</xdr:col>
      <xdr:colOff>605927</xdr:colOff>
      <xdr:row>5</xdr:row>
      <xdr:rowOff>30480</xdr:rowOff>
    </xdr:from>
    <xdr:to>
      <xdr:col>6</xdr:col>
      <xdr:colOff>9181</xdr:colOff>
      <xdr:row>10</xdr:row>
      <xdr:rowOff>146891</xdr:rowOff>
    </xdr:to>
    <xdr:sp macro="" textlink="">
      <xdr:nvSpPr>
        <xdr:cNvPr id="3" name="Rectangle 2">
          <a:extLst>
            <a:ext uri="{FF2B5EF4-FFF2-40B4-BE49-F238E27FC236}">
              <a16:creationId xmlns:a16="http://schemas.microsoft.com/office/drawing/2014/main" id="{CDB3075B-680E-4F2E-BDC3-0EC5BB21ABE0}"/>
            </a:ext>
          </a:extLst>
        </xdr:cNvPr>
        <xdr:cNvSpPr/>
      </xdr:nvSpPr>
      <xdr:spPr>
        <a:xfrm>
          <a:off x="1825127" y="944880"/>
          <a:ext cx="1841654" cy="1030811"/>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IN" sz="2800" b="0" cap="none" spc="0">
              <a:ln w="0"/>
              <a:solidFill>
                <a:schemeClr val="accent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rPr>
            <a:t>101</a:t>
          </a:r>
        </a:p>
        <a:p>
          <a:pPr algn="ctr"/>
          <a:r>
            <a:rPr lang="en-IN" sz="2800" b="0" cap="none" spc="0">
              <a:ln w="0"/>
              <a:solidFill>
                <a:schemeClr val="accent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rPr>
            <a:t> </a:t>
          </a:r>
          <a:r>
            <a:rPr lang="en-IN" sz="1100" b="0" cap="none" spc="0">
              <a:ln w="0"/>
              <a:solidFill>
                <a:schemeClr val="accent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rPr>
            <a:t> </a:t>
          </a:r>
          <a:r>
            <a:rPr lang="en-IN" sz="1600" b="0" cap="none" spc="0">
              <a:ln w="0"/>
              <a:solidFill>
                <a:schemeClr val="accent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rPr>
            <a:t>Total Employees </a:t>
          </a:r>
          <a:endParaRPr lang="en-IN" sz="1100" b="0" cap="none" spc="0">
            <a:ln w="0"/>
            <a:solidFill>
              <a:schemeClr val="accent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endParaRPr>
        </a:p>
      </xdr:txBody>
    </xdr:sp>
    <xdr:clientData/>
  </xdr:twoCellAnchor>
  <xdr:twoCellAnchor>
    <xdr:from>
      <xdr:col>5</xdr:col>
      <xdr:colOff>601980</xdr:colOff>
      <xdr:row>5</xdr:row>
      <xdr:rowOff>30480</xdr:rowOff>
    </xdr:from>
    <xdr:to>
      <xdr:col>9</xdr:col>
      <xdr:colOff>144780</xdr:colOff>
      <xdr:row>10</xdr:row>
      <xdr:rowOff>144780</xdr:rowOff>
    </xdr:to>
    <xdr:sp macro="" textlink="">
      <xdr:nvSpPr>
        <xdr:cNvPr id="4" name="Rectangle 3">
          <a:extLst>
            <a:ext uri="{FF2B5EF4-FFF2-40B4-BE49-F238E27FC236}">
              <a16:creationId xmlns:a16="http://schemas.microsoft.com/office/drawing/2014/main" id="{DC12EDD0-D238-4BB0-9A98-1ADA2EFBDBC3}"/>
            </a:ext>
          </a:extLst>
        </xdr:cNvPr>
        <xdr:cNvSpPr/>
      </xdr:nvSpPr>
      <xdr:spPr>
        <a:xfrm>
          <a:off x="3649980" y="944880"/>
          <a:ext cx="1981200" cy="102870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IN" sz="2800">
              <a:solidFill>
                <a:schemeClr val="accent1"/>
              </a:solidFill>
              <a:latin typeface="Times New Roman" panose="02020603050405020304" pitchFamily="18" charset="0"/>
              <a:cs typeface="Times New Roman" panose="02020603050405020304" pitchFamily="18" charset="0"/>
            </a:rPr>
            <a:t>₹67,46,000</a:t>
          </a:r>
          <a:r>
            <a:rPr lang="en-IN" sz="2800" b="0" cap="none" spc="0">
              <a:ln w="0"/>
              <a:solidFill>
                <a:schemeClr val="accent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rPr>
            <a:t> </a:t>
          </a:r>
          <a:r>
            <a:rPr lang="en-IN" sz="1100" b="0" cap="none" spc="0">
              <a:ln w="0"/>
              <a:solidFill>
                <a:schemeClr val="accent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rPr>
            <a:t> </a:t>
          </a:r>
          <a:r>
            <a:rPr lang="en-IN" sz="1600" b="0" cap="none" spc="0">
              <a:ln w="0"/>
              <a:solidFill>
                <a:schemeClr val="accent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rPr>
            <a:t>Total salary</a:t>
          </a:r>
          <a:endParaRPr lang="en-IN" sz="1100" b="0" cap="none" spc="0">
            <a:ln w="0"/>
            <a:solidFill>
              <a:schemeClr val="accent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endParaRPr>
        </a:p>
      </xdr:txBody>
    </xdr:sp>
    <xdr:clientData/>
  </xdr:twoCellAnchor>
  <xdr:twoCellAnchor>
    <xdr:from>
      <xdr:col>9</xdr:col>
      <xdr:colOff>144779</xdr:colOff>
      <xdr:row>5</xdr:row>
      <xdr:rowOff>30480</xdr:rowOff>
    </xdr:from>
    <xdr:to>
      <xdr:col>12</xdr:col>
      <xdr:colOff>201974</xdr:colOff>
      <xdr:row>10</xdr:row>
      <xdr:rowOff>156072</xdr:rowOff>
    </xdr:to>
    <xdr:sp macro="" textlink="">
      <xdr:nvSpPr>
        <xdr:cNvPr id="5" name="Rectangle 4">
          <a:extLst>
            <a:ext uri="{FF2B5EF4-FFF2-40B4-BE49-F238E27FC236}">
              <a16:creationId xmlns:a16="http://schemas.microsoft.com/office/drawing/2014/main" id="{62DB7C6A-F28B-49EA-8EDD-825C0462285D}"/>
            </a:ext>
          </a:extLst>
        </xdr:cNvPr>
        <xdr:cNvSpPr/>
      </xdr:nvSpPr>
      <xdr:spPr>
        <a:xfrm>
          <a:off x="5631179" y="944880"/>
          <a:ext cx="1885995" cy="1039992"/>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IN" sz="2800">
              <a:solidFill>
                <a:schemeClr val="accent1"/>
              </a:solidFill>
              <a:latin typeface="Times New Roman" panose="02020603050405020304" pitchFamily="18" charset="0"/>
              <a:cs typeface="Times New Roman" panose="02020603050405020304" pitchFamily="18" charset="0"/>
            </a:rPr>
            <a:t>₹66,792</a:t>
          </a:r>
          <a:r>
            <a:rPr lang="en-IN" sz="2800" b="0" cap="none" spc="0">
              <a:ln w="0"/>
              <a:solidFill>
                <a:schemeClr val="accent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rPr>
            <a:t> </a:t>
          </a:r>
        </a:p>
        <a:p>
          <a:pPr algn="ctr"/>
          <a:r>
            <a:rPr lang="en-IN" sz="1100" b="0" cap="none" spc="0">
              <a:ln w="0"/>
              <a:solidFill>
                <a:schemeClr val="accent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rPr>
            <a:t> </a:t>
          </a:r>
          <a:r>
            <a:rPr lang="en-IN" sz="1600" b="0" cap="none" spc="0">
              <a:ln w="0"/>
              <a:solidFill>
                <a:schemeClr val="accent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rPr>
            <a:t>Average</a:t>
          </a:r>
          <a:r>
            <a:rPr lang="en-IN" sz="1600" b="0" cap="none" spc="0" baseline="0">
              <a:ln w="0"/>
              <a:solidFill>
                <a:schemeClr val="accent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rPr>
            <a:t> Salary</a:t>
          </a:r>
          <a:endParaRPr lang="en-IN" sz="1100" b="0" cap="none" spc="0">
            <a:ln w="0"/>
            <a:solidFill>
              <a:schemeClr val="accent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endParaRPr>
        </a:p>
      </xdr:txBody>
    </xdr:sp>
    <xdr:clientData/>
  </xdr:twoCellAnchor>
  <xdr:twoCellAnchor>
    <xdr:from>
      <xdr:col>12</xdr:col>
      <xdr:colOff>190500</xdr:colOff>
      <xdr:row>5</xdr:row>
      <xdr:rowOff>30480</xdr:rowOff>
    </xdr:from>
    <xdr:to>
      <xdr:col>16</xdr:col>
      <xdr:colOff>160020</xdr:colOff>
      <xdr:row>10</xdr:row>
      <xdr:rowOff>152400</xdr:rowOff>
    </xdr:to>
    <xdr:sp macro="" textlink="">
      <xdr:nvSpPr>
        <xdr:cNvPr id="6" name="Rectangle 5">
          <a:extLst>
            <a:ext uri="{FF2B5EF4-FFF2-40B4-BE49-F238E27FC236}">
              <a16:creationId xmlns:a16="http://schemas.microsoft.com/office/drawing/2014/main" id="{1B61ABF1-7239-4227-87B6-815C4508F9DA}"/>
            </a:ext>
          </a:extLst>
        </xdr:cNvPr>
        <xdr:cNvSpPr/>
      </xdr:nvSpPr>
      <xdr:spPr>
        <a:xfrm>
          <a:off x="7505700" y="944880"/>
          <a:ext cx="2407920" cy="103632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IN" sz="2800" b="0" cap="none" spc="0">
              <a:ln w="0"/>
              <a:solidFill>
                <a:schemeClr val="accent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rPr>
            <a:t>6 Years </a:t>
          </a:r>
        </a:p>
        <a:p>
          <a:pPr algn="ctr"/>
          <a:r>
            <a:rPr lang="en-IN" sz="1100" b="0" cap="none" spc="0">
              <a:ln w="0"/>
              <a:solidFill>
                <a:schemeClr val="accent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rPr>
            <a:t> </a:t>
          </a:r>
          <a:r>
            <a:rPr lang="en-IN" sz="1600" b="0" cap="none" spc="0">
              <a:ln w="0"/>
              <a:solidFill>
                <a:schemeClr val="accent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rPr>
            <a:t>Average</a:t>
          </a:r>
          <a:r>
            <a:rPr lang="en-IN" sz="1600" b="0" cap="none" spc="0" baseline="0">
              <a:ln w="0"/>
              <a:solidFill>
                <a:schemeClr val="accent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rPr>
            <a:t> Experience</a:t>
          </a:r>
          <a:r>
            <a:rPr lang="en-IN" sz="1600" b="0" cap="none" spc="0">
              <a:ln w="0"/>
              <a:solidFill>
                <a:schemeClr val="accent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rPr>
            <a:t> </a:t>
          </a:r>
          <a:endParaRPr lang="en-IN" sz="1100" b="0" cap="none" spc="0">
            <a:ln w="0"/>
            <a:solidFill>
              <a:schemeClr val="accent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endParaRPr>
        </a:p>
      </xdr:txBody>
    </xdr:sp>
    <xdr:clientData/>
  </xdr:twoCellAnchor>
  <xdr:twoCellAnchor>
    <xdr:from>
      <xdr:col>16</xdr:col>
      <xdr:colOff>160020</xdr:colOff>
      <xdr:row>5</xdr:row>
      <xdr:rowOff>30480</xdr:rowOff>
    </xdr:from>
    <xdr:to>
      <xdr:col>20</xdr:col>
      <xdr:colOff>106680</xdr:colOff>
      <xdr:row>10</xdr:row>
      <xdr:rowOff>160020</xdr:rowOff>
    </xdr:to>
    <xdr:sp macro="" textlink="">
      <xdr:nvSpPr>
        <xdr:cNvPr id="7" name="Rectangle 6">
          <a:extLst>
            <a:ext uri="{FF2B5EF4-FFF2-40B4-BE49-F238E27FC236}">
              <a16:creationId xmlns:a16="http://schemas.microsoft.com/office/drawing/2014/main" id="{949C8989-B031-46B1-B1CF-FA54EDAE3CA5}"/>
            </a:ext>
          </a:extLst>
        </xdr:cNvPr>
        <xdr:cNvSpPr/>
      </xdr:nvSpPr>
      <xdr:spPr>
        <a:xfrm>
          <a:off x="9913620" y="944880"/>
          <a:ext cx="2385060" cy="104394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IN" sz="2800" b="0" cap="none" spc="0">
              <a:ln w="0"/>
              <a:solidFill>
                <a:schemeClr val="accent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rPr>
            <a:t>4.1</a:t>
          </a:r>
          <a:r>
            <a:rPr lang="en-IN" sz="2800" b="0" cap="none" spc="0" baseline="0">
              <a:ln w="0"/>
              <a:solidFill>
                <a:schemeClr val="accent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rPr>
            <a:t>   </a:t>
          </a:r>
          <a:endParaRPr lang="en-IN" sz="1600" b="0" cap="none" spc="0">
            <a:ln w="0"/>
            <a:solidFill>
              <a:schemeClr val="accent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endParaRPr>
        </a:p>
        <a:p>
          <a:pPr algn="ctr"/>
          <a:r>
            <a:rPr lang="en-IN" sz="1600" b="0" cap="none" spc="0">
              <a:ln w="0"/>
              <a:solidFill>
                <a:schemeClr val="accent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rPr>
            <a:t> Average Performance</a:t>
          </a:r>
          <a:r>
            <a:rPr lang="en-IN" sz="1600" b="0" cap="none" spc="0" baseline="0">
              <a:ln w="0"/>
              <a:solidFill>
                <a:schemeClr val="accent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rPr>
            <a:t> Rating</a:t>
          </a:r>
          <a:r>
            <a:rPr lang="en-IN" sz="1600" b="0" cap="none" spc="0">
              <a:ln w="0"/>
              <a:solidFill>
                <a:schemeClr val="accent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rPr>
            <a:t> </a:t>
          </a:r>
          <a:endParaRPr lang="en-IN" sz="1100" b="0" cap="none" spc="0">
            <a:ln w="0"/>
            <a:solidFill>
              <a:schemeClr val="accent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endParaRPr>
        </a:p>
      </xdr:txBody>
    </xdr:sp>
    <xdr:clientData/>
  </xdr:twoCellAnchor>
  <xdr:twoCellAnchor>
    <xdr:from>
      <xdr:col>3</xdr:col>
      <xdr:colOff>0</xdr:colOff>
      <xdr:row>1</xdr:row>
      <xdr:rowOff>7620</xdr:rowOff>
    </xdr:from>
    <xdr:to>
      <xdr:col>20</xdr:col>
      <xdr:colOff>106680</xdr:colOff>
      <xdr:row>5</xdr:row>
      <xdr:rowOff>30480</xdr:rowOff>
    </xdr:to>
    <xdr:sp macro="" textlink="">
      <xdr:nvSpPr>
        <xdr:cNvPr id="8" name="Rectangle 7">
          <a:extLst>
            <a:ext uri="{FF2B5EF4-FFF2-40B4-BE49-F238E27FC236}">
              <a16:creationId xmlns:a16="http://schemas.microsoft.com/office/drawing/2014/main" id="{3E020805-75C3-4236-8717-9CD01B589B1F}"/>
            </a:ext>
          </a:extLst>
        </xdr:cNvPr>
        <xdr:cNvSpPr/>
      </xdr:nvSpPr>
      <xdr:spPr>
        <a:xfrm>
          <a:off x="1828800" y="190500"/>
          <a:ext cx="10469880" cy="754380"/>
        </a:xfrm>
        <a:prstGeom prst="rect">
          <a:avLst/>
        </a:prstGeom>
        <a:noFill/>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601981</xdr:colOff>
      <xdr:row>10</xdr:row>
      <xdr:rowOff>144780</xdr:rowOff>
    </xdr:from>
    <xdr:to>
      <xdr:col>20</xdr:col>
      <xdr:colOff>110170</xdr:colOff>
      <xdr:row>31</xdr:row>
      <xdr:rowOff>0</xdr:rowOff>
    </xdr:to>
    <xdr:sp macro="" textlink="">
      <xdr:nvSpPr>
        <xdr:cNvPr id="9" name="Rectangle 8">
          <a:extLst>
            <a:ext uri="{FF2B5EF4-FFF2-40B4-BE49-F238E27FC236}">
              <a16:creationId xmlns:a16="http://schemas.microsoft.com/office/drawing/2014/main" id="{4C8446C7-A801-47F7-955D-1EE5DD34951D}"/>
            </a:ext>
          </a:extLst>
        </xdr:cNvPr>
        <xdr:cNvSpPr/>
      </xdr:nvSpPr>
      <xdr:spPr>
        <a:xfrm>
          <a:off x="1821181" y="1973580"/>
          <a:ext cx="10480989" cy="369570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0</xdr:colOff>
      <xdr:row>31</xdr:row>
      <xdr:rowOff>871</xdr:rowOff>
    </xdr:from>
    <xdr:to>
      <xdr:col>20</xdr:col>
      <xdr:colOff>110169</xdr:colOff>
      <xdr:row>52</xdr:row>
      <xdr:rowOff>112889</xdr:rowOff>
    </xdr:to>
    <xdr:sp macro="" textlink="">
      <xdr:nvSpPr>
        <xdr:cNvPr id="10" name="Rectangle 9">
          <a:extLst>
            <a:ext uri="{FF2B5EF4-FFF2-40B4-BE49-F238E27FC236}">
              <a16:creationId xmlns:a16="http://schemas.microsoft.com/office/drawing/2014/main" id="{8B0F7DA7-C63D-41F3-9E91-AE1FB41B7B23}"/>
            </a:ext>
          </a:extLst>
        </xdr:cNvPr>
        <xdr:cNvSpPr/>
      </xdr:nvSpPr>
      <xdr:spPr>
        <a:xfrm>
          <a:off x="1828800" y="5670151"/>
          <a:ext cx="10473369" cy="3952498"/>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11</xdr:col>
      <xdr:colOff>480060</xdr:colOff>
      <xdr:row>10</xdr:row>
      <xdr:rowOff>135599</xdr:rowOff>
    </xdr:from>
    <xdr:to>
      <xdr:col>11</xdr:col>
      <xdr:colOff>480060</xdr:colOff>
      <xdr:row>52</xdr:row>
      <xdr:rowOff>113115</xdr:rowOff>
    </xdr:to>
    <xdr:cxnSp macro="">
      <xdr:nvCxnSpPr>
        <xdr:cNvPr id="11" name="Straight Connector 10">
          <a:extLst>
            <a:ext uri="{FF2B5EF4-FFF2-40B4-BE49-F238E27FC236}">
              <a16:creationId xmlns:a16="http://schemas.microsoft.com/office/drawing/2014/main" id="{8822D40B-449F-42D8-8FA1-D0A5D9578873}"/>
            </a:ext>
          </a:extLst>
        </xdr:cNvPr>
        <xdr:cNvCxnSpPr/>
      </xdr:nvCxnSpPr>
      <xdr:spPr>
        <a:xfrm>
          <a:off x="7185660" y="1964399"/>
          <a:ext cx="0" cy="7658476"/>
        </a:xfrm>
        <a:prstGeom prst="line">
          <a:avLst/>
        </a:prstGeom>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11</xdr:col>
      <xdr:colOff>570489</xdr:colOff>
      <xdr:row>12</xdr:row>
      <xdr:rowOff>10375</xdr:rowOff>
    </xdr:from>
    <xdr:ext cx="915379" cy="374141"/>
    <xdr:sp macro="" textlink="">
      <xdr:nvSpPr>
        <xdr:cNvPr id="12" name="TextBox 11">
          <a:extLst>
            <a:ext uri="{FF2B5EF4-FFF2-40B4-BE49-F238E27FC236}">
              <a16:creationId xmlns:a16="http://schemas.microsoft.com/office/drawing/2014/main" id="{85D2D605-1A16-485B-A24D-0CC3C0299029}"/>
            </a:ext>
          </a:extLst>
        </xdr:cNvPr>
        <xdr:cNvSpPr txBox="1"/>
      </xdr:nvSpPr>
      <xdr:spPr>
        <a:xfrm>
          <a:off x="7276089" y="2204935"/>
          <a:ext cx="915379"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a:t>              </a:t>
          </a:r>
          <a:endParaRPr lang="en-IN" sz="1800">
            <a:solidFill>
              <a:schemeClr val="accent1"/>
            </a:solidFill>
            <a:latin typeface="Times New Roman" panose="02020603050405020304" pitchFamily="18" charset="0"/>
            <a:cs typeface="Times New Roman" panose="02020603050405020304" pitchFamily="18" charset="0"/>
          </a:endParaRPr>
        </a:p>
      </xdr:txBody>
    </xdr:sp>
    <xdr:clientData/>
  </xdr:oneCellAnchor>
  <xdr:twoCellAnchor>
    <xdr:from>
      <xdr:col>5</xdr:col>
      <xdr:colOff>213995</xdr:colOff>
      <xdr:row>31</xdr:row>
      <xdr:rowOff>133350</xdr:rowOff>
    </xdr:from>
    <xdr:to>
      <xdr:col>10</xdr:col>
      <xdr:colOff>442595</xdr:colOff>
      <xdr:row>36</xdr:row>
      <xdr:rowOff>72390</xdr:rowOff>
    </xdr:to>
    <xdr:sp macro="" textlink="">
      <xdr:nvSpPr>
        <xdr:cNvPr id="13" name="TextBox 12">
          <a:extLst>
            <a:ext uri="{FF2B5EF4-FFF2-40B4-BE49-F238E27FC236}">
              <a16:creationId xmlns:a16="http://schemas.microsoft.com/office/drawing/2014/main" id="{33270CF4-66D3-4693-ABE4-B54A33C0A95A}"/>
            </a:ext>
          </a:extLst>
        </xdr:cNvPr>
        <xdr:cNvSpPr txBox="1"/>
      </xdr:nvSpPr>
      <xdr:spPr>
        <a:xfrm>
          <a:off x="3261995" y="5802630"/>
          <a:ext cx="3276600" cy="8534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2000">
            <a:solidFill>
              <a:schemeClr val="accent1"/>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159197</xdr:colOff>
      <xdr:row>53</xdr:row>
      <xdr:rowOff>58609</xdr:rowOff>
    </xdr:from>
    <xdr:to>
      <xdr:col>9</xdr:col>
      <xdr:colOff>204917</xdr:colOff>
      <xdr:row>56</xdr:row>
      <xdr:rowOff>73849</xdr:rowOff>
    </xdr:to>
    <xdr:sp macro="" textlink="">
      <xdr:nvSpPr>
        <xdr:cNvPr id="14" name="TextBox 13">
          <a:extLst>
            <a:ext uri="{FF2B5EF4-FFF2-40B4-BE49-F238E27FC236}">
              <a16:creationId xmlns:a16="http://schemas.microsoft.com/office/drawing/2014/main" id="{4DA80AB6-8DB3-4CCE-9D5D-36D3B285EB43}"/>
            </a:ext>
          </a:extLst>
        </xdr:cNvPr>
        <xdr:cNvSpPr txBox="1"/>
      </xdr:nvSpPr>
      <xdr:spPr>
        <a:xfrm>
          <a:off x="3207197" y="9751249"/>
          <a:ext cx="2484120" cy="5638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cap="all" baseline="0">
              <a:solidFill>
                <a:schemeClr val="accent1"/>
              </a:solidFill>
              <a:latin typeface="Times New Roman" panose="02020603050405020304" pitchFamily="18" charset="0"/>
              <a:cs typeface="Times New Roman" panose="02020603050405020304" pitchFamily="18" charset="0"/>
            </a:rPr>
            <a:t>Slicers/ Filters</a:t>
          </a:r>
        </a:p>
      </xdr:txBody>
    </xdr:sp>
    <xdr:clientData/>
  </xdr:twoCellAnchor>
  <xdr:twoCellAnchor>
    <xdr:from>
      <xdr:col>13</xdr:col>
      <xdr:colOff>315760</xdr:colOff>
      <xdr:row>53</xdr:row>
      <xdr:rowOff>16627</xdr:rowOff>
    </xdr:from>
    <xdr:to>
      <xdr:col>19</xdr:col>
      <xdr:colOff>384340</xdr:colOff>
      <xdr:row>55</xdr:row>
      <xdr:rowOff>176646</xdr:rowOff>
    </xdr:to>
    <xdr:sp macro="" textlink="">
      <xdr:nvSpPr>
        <xdr:cNvPr id="15" name="TextBox 14">
          <a:extLst>
            <a:ext uri="{FF2B5EF4-FFF2-40B4-BE49-F238E27FC236}">
              <a16:creationId xmlns:a16="http://schemas.microsoft.com/office/drawing/2014/main" id="{02C94C73-0354-42B7-836D-A99C8226C887}"/>
            </a:ext>
          </a:extLst>
        </xdr:cNvPr>
        <xdr:cNvSpPr txBox="1"/>
      </xdr:nvSpPr>
      <xdr:spPr>
        <a:xfrm>
          <a:off x="8240560" y="9709267"/>
          <a:ext cx="3726180" cy="5257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cap="all">
              <a:solidFill>
                <a:schemeClr val="accent1"/>
              </a:solidFill>
              <a:latin typeface="Times New Roman" panose="02020603050405020304" pitchFamily="18" charset="0"/>
              <a:cs typeface="Times New Roman" panose="02020603050405020304" pitchFamily="18" charset="0"/>
            </a:rPr>
            <a:t>Key business insights</a:t>
          </a:r>
          <a:r>
            <a:rPr lang="en-IN" sz="2000" cap="all" baseline="0">
              <a:solidFill>
                <a:schemeClr val="accent1"/>
              </a:solidFill>
              <a:latin typeface="Times New Roman" panose="02020603050405020304" pitchFamily="18" charset="0"/>
              <a:cs typeface="Times New Roman" panose="02020603050405020304" pitchFamily="18" charset="0"/>
            </a:rPr>
            <a:t> </a:t>
          </a:r>
          <a:endParaRPr lang="en-IN" sz="2000" cap="all">
            <a:solidFill>
              <a:schemeClr val="accent1"/>
            </a:solidFill>
            <a:latin typeface="Times New Roman" panose="02020603050405020304" pitchFamily="18" charset="0"/>
            <a:cs typeface="Times New Roman" panose="02020603050405020304" pitchFamily="18" charset="0"/>
          </a:endParaRPr>
        </a:p>
      </xdr:txBody>
    </xdr:sp>
    <xdr:clientData/>
  </xdr:twoCellAnchor>
  <xdr:twoCellAnchor>
    <xdr:from>
      <xdr:col>3</xdr:col>
      <xdr:colOff>112058</xdr:colOff>
      <xdr:row>12</xdr:row>
      <xdr:rowOff>64266</xdr:rowOff>
    </xdr:from>
    <xdr:to>
      <xdr:col>11</xdr:col>
      <xdr:colOff>55083</xdr:colOff>
      <xdr:row>29</xdr:row>
      <xdr:rowOff>27541</xdr:rowOff>
    </xdr:to>
    <xdr:graphicFrame macro="">
      <xdr:nvGraphicFramePr>
        <xdr:cNvPr id="16" name="Chart 15">
          <a:extLst>
            <a:ext uri="{FF2B5EF4-FFF2-40B4-BE49-F238E27FC236}">
              <a16:creationId xmlns:a16="http://schemas.microsoft.com/office/drawing/2014/main" id="{C705A563-3C58-4761-BCF9-ADA685E4D1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343894</xdr:colOff>
      <xdr:row>12</xdr:row>
      <xdr:rowOff>110169</xdr:rowOff>
    </xdr:from>
    <xdr:to>
      <xdr:col>19</xdr:col>
      <xdr:colOff>137710</xdr:colOff>
      <xdr:row>29</xdr:row>
      <xdr:rowOff>156073</xdr:rowOff>
    </xdr:to>
    <xdr:graphicFrame macro="">
      <xdr:nvGraphicFramePr>
        <xdr:cNvPr id="17" name="Chart 16">
          <a:extLst>
            <a:ext uri="{FF2B5EF4-FFF2-40B4-BE49-F238E27FC236}">
              <a16:creationId xmlns:a16="http://schemas.microsoft.com/office/drawing/2014/main" id="{11F6C419-7D9D-47B7-A349-880BE11E3A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128296</xdr:colOff>
      <xdr:row>32</xdr:row>
      <xdr:rowOff>19496</xdr:rowOff>
    </xdr:from>
    <xdr:to>
      <xdr:col>11</xdr:col>
      <xdr:colOff>183614</xdr:colOff>
      <xdr:row>51</xdr:row>
      <xdr:rowOff>55085</xdr:rowOff>
    </xdr:to>
    <xdr:graphicFrame macro="">
      <xdr:nvGraphicFramePr>
        <xdr:cNvPr id="18" name="Chart 17">
          <a:extLst>
            <a:ext uri="{FF2B5EF4-FFF2-40B4-BE49-F238E27FC236}">
              <a16:creationId xmlns:a16="http://schemas.microsoft.com/office/drawing/2014/main" id="{9FF85F5E-86CD-41E3-853A-DC8D1603B8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87675</xdr:colOff>
      <xdr:row>31</xdr:row>
      <xdr:rowOff>183614</xdr:rowOff>
    </xdr:from>
    <xdr:to>
      <xdr:col>19</xdr:col>
      <xdr:colOff>495759</xdr:colOff>
      <xdr:row>51</xdr:row>
      <xdr:rowOff>55085</xdr:rowOff>
    </xdr:to>
    <xdr:graphicFrame macro="">
      <xdr:nvGraphicFramePr>
        <xdr:cNvPr id="19" name="Chart 18">
          <a:extLst>
            <a:ext uri="{FF2B5EF4-FFF2-40B4-BE49-F238E27FC236}">
              <a16:creationId xmlns:a16="http://schemas.microsoft.com/office/drawing/2014/main" id="{D2060BFC-283F-4619-A17F-F55DE62C47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395112</xdr:colOff>
      <xdr:row>56</xdr:row>
      <xdr:rowOff>84668</xdr:rowOff>
    </xdr:from>
    <xdr:to>
      <xdr:col>19</xdr:col>
      <xdr:colOff>339686</xdr:colOff>
      <xdr:row>69</xdr:row>
      <xdr:rowOff>100988</xdr:rowOff>
    </xdr:to>
    <xdr:sp macro="" textlink="">
      <xdr:nvSpPr>
        <xdr:cNvPr id="20" name="TextBox 19">
          <a:extLst>
            <a:ext uri="{FF2B5EF4-FFF2-40B4-BE49-F238E27FC236}">
              <a16:creationId xmlns:a16="http://schemas.microsoft.com/office/drawing/2014/main" id="{71A410B9-1ACE-4908-A155-9BCEA4778963}"/>
            </a:ext>
          </a:extLst>
        </xdr:cNvPr>
        <xdr:cNvSpPr txBox="1"/>
      </xdr:nvSpPr>
      <xdr:spPr>
        <a:xfrm>
          <a:off x="8319912" y="10325948"/>
          <a:ext cx="3602174" cy="23937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accent1"/>
              </a:solidFill>
            </a:rPr>
            <a:t>•</a:t>
          </a:r>
          <a:r>
            <a:rPr lang="en-IN" sz="1400"/>
            <a:t> </a:t>
          </a:r>
          <a:r>
            <a:rPr lang="en-IN" sz="1400">
              <a:solidFill>
                <a:schemeClr val="accent1"/>
              </a:solidFill>
              <a:latin typeface="Times New Roman" panose="02020603050405020304" pitchFamily="18" charset="0"/>
              <a:cs typeface="Times New Roman" panose="02020603050405020304" pitchFamily="18" charset="0"/>
            </a:rPr>
            <a:t>Experience and salary show a strong positive relationship (</a:t>
          </a:r>
          <a:r>
            <a:rPr lang="en-IN" sz="1400" b="1">
              <a:solidFill>
                <a:schemeClr val="accent1"/>
              </a:solidFill>
              <a:latin typeface="Times New Roman" panose="02020603050405020304" pitchFamily="18" charset="0"/>
              <a:cs typeface="Times New Roman" panose="02020603050405020304" pitchFamily="18" charset="0"/>
            </a:rPr>
            <a:t>R² = 0.9579</a:t>
          </a:r>
          <a:r>
            <a:rPr lang="en-IN" sz="1400">
              <a:solidFill>
                <a:schemeClr val="accent1"/>
              </a:solidFill>
              <a:latin typeface="Times New Roman" panose="02020603050405020304" pitchFamily="18" charset="0"/>
              <a:cs typeface="Times New Roman" panose="02020603050405020304" pitchFamily="18" charset="0"/>
            </a:rPr>
            <a:t>).</a:t>
          </a:r>
          <a:br>
            <a:rPr lang="en-IN" sz="1400">
              <a:solidFill>
                <a:schemeClr val="accent1"/>
              </a:solidFill>
              <a:latin typeface="Times New Roman" panose="02020603050405020304" pitchFamily="18" charset="0"/>
              <a:cs typeface="Times New Roman" panose="02020603050405020304" pitchFamily="18" charset="0"/>
            </a:rPr>
          </a:br>
          <a:r>
            <a:rPr lang="en-IN" sz="1400">
              <a:solidFill>
                <a:schemeClr val="accent1"/>
              </a:solidFill>
              <a:latin typeface="Times New Roman" panose="02020603050405020304" pitchFamily="18" charset="0"/>
              <a:cs typeface="Times New Roman" panose="02020603050405020304" pitchFamily="18" charset="0"/>
            </a:rPr>
            <a:t>• </a:t>
          </a:r>
          <a:r>
            <a:rPr lang="en-IN" sz="1400" b="1">
              <a:solidFill>
                <a:schemeClr val="accent1"/>
              </a:solidFill>
              <a:latin typeface="Times New Roman" panose="02020603050405020304" pitchFamily="18" charset="0"/>
              <a:cs typeface="Times New Roman" panose="02020603050405020304" pitchFamily="18" charset="0"/>
            </a:rPr>
            <a:t>Analytics</a:t>
          </a:r>
          <a:r>
            <a:rPr lang="en-IN" sz="1400">
              <a:solidFill>
                <a:schemeClr val="accent1"/>
              </a:solidFill>
              <a:latin typeface="Times New Roman" panose="02020603050405020304" pitchFamily="18" charset="0"/>
              <a:cs typeface="Times New Roman" panose="02020603050405020304" pitchFamily="18" charset="0"/>
            </a:rPr>
            <a:t> has the highest average salary at </a:t>
          </a:r>
          <a:r>
            <a:rPr lang="en-IN" sz="1400" b="1">
              <a:solidFill>
                <a:schemeClr val="accent1"/>
              </a:solidFill>
              <a:latin typeface="Times New Roman" panose="02020603050405020304" pitchFamily="18" charset="0"/>
              <a:cs typeface="Times New Roman" panose="02020603050405020304" pitchFamily="18" charset="0"/>
            </a:rPr>
            <a:t>₹96,600</a:t>
          </a:r>
          <a:r>
            <a:rPr lang="en-IN" sz="1400">
              <a:solidFill>
                <a:schemeClr val="accent1"/>
              </a:solidFill>
              <a:latin typeface="Times New Roman" panose="02020603050405020304" pitchFamily="18" charset="0"/>
              <a:cs typeface="Times New Roman" panose="02020603050405020304" pitchFamily="18" charset="0"/>
            </a:rPr>
            <a:t>.</a:t>
          </a:r>
          <a:br>
            <a:rPr lang="en-IN" sz="1400">
              <a:solidFill>
                <a:schemeClr val="accent1"/>
              </a:solidFill>
              <a:latin typeface="Times New Roman" panose="02020603050405020304" pitchFamily="18" charset="0"/>
              <a:cs typeface="Times New Roman" panose="02020603050405020304" pitchFamily="18" charset="0"/>
            </a:rPr>
          </a:br>
          <a:r>
            <a:rPr lang="en-IN" sz="1400">
              <a:solidFill>
                <a:schemeClr val="accent1"/>
              </a:solidFill>
              <a:latin typeface="Times New Roman" panose="02020603050405020304" pitchFamily="18" charset="0"/>
              <a:cs typeface="Times New Roman" panose="02020603050405020304" pitchFamily="18" charset="0"/>
            </a:rPr>
            <a:t>• </a:t>
          </a:r>
          <a:r>
            <a:rPr lang="en-IN" sz="1400" b="1">
              <a:solidFill>
                <a:schemeClr val="accent1"/>
              </a:solidFill>
              <a:latin typeface="Times New Roman" panose="02020603050405020304" pitchFamily="18" charset="0"/>
              <a:cs typeface="Times New Roman" panose="02020603050405020304" pitchFamily="18" charset="0"/>
            </a:rPr>
            <a:t>Chennai</a:t>
          </a:r>
          <a:r>
            <a:rPr lang="en-IN" sz="1400">
              <a:solidFill>
                <a:schemeClr val="accent1"/>
              </a:solidFill>
              <a:latin typeface="Times New Roman" panose="02020603050405020304" pitchFamily="18" charset="0"/>
              <a:cs typeface="Times New Roman" panose="02020603050405020304" pitchFamily="18" charset="0"/>
            </a:rPr>
            <a:t> has the largest workforce with </a:t>
          </a:r>
          <a:r>
            <a:rPr lang="en-IN" sz="1400" b="1">
              <a:solidFill>
                <a:schemeClr val="accent1"/>
              </a:solidFill>
              <a:latin typeface="Times New Roman" panose="02020603050405020304" pitchFamily="18" charset="0"/>
              <a:cs typeface="Times New Roman" panose="02020603050405020304" pitchFamily="18" charset="0"/>
            </a:rPr>
            <a:t>29 employees</a:t>
          </a:r>
          <a:r>
            <a:rPr lang="en-IN" sz="1400">
              <a:solidFill>
                <a:schemeClr val="accent1"/>
              </a:solidFill>
              <a:latin typeface="Times New Roman" panose="02020603050405020304" pitchFamily="18" charset="0"/>
              <a:cs typeface="Times New Roman" panose="02020603050405020304" pitchFamily="18" charset="0"/>
            </a:rPr>
            <a:t>.</a:t>
          </a:r>
          <a:br>
            <a:rPr lang="en-IN" sz="1400">
              <a:solidFill>
                <a:schemeClr val="accent1"/>
              </a:solidFill>
              <a:latin typeface="Times New Roman" panose="02020603050405020304" pitchFamily="18" charset="0"/>
              <a:cs typeface="Times New Roman" panose="02020603050405020304" pitchFamily="18" charset="0"/>
            </a:rPr>
          </a:br>
          <a:r>
            <a:rPr lang="en-IN" sz="1400">
              <a:solidFill>
                <a:schemeClr val="accent1"/>
              </a:solidFill>
              <a:latin typeface="Times New Roman" panose="02020603050405020304" pitchFamily="18" charset="0"/>
              <a:cs typeface="Times New Roman" panose="02020603050405020304" pitchFamily="18" charset="0"/>
            </a:rPr>
            <a:t>• </a:t>
          </a:r>
          <a:r>
            <a:rPr lang="en-IN" sz="1400" b="1">
              <a:solidFill>
                <a:schemeClr val="accent1"/>
              </a:solidFill>
              <a:latin typeface="Times New Roman" panose="02020603050405020304" pitchFamily="18" charset="0"/>
              <a:cs typeface="Times New Roman" panose="02020603050405020304" pitchFamily="18" charset="0"/>
            </a:rPr>
            <a:t>Hyderabad</a:t>
          </a:r>
          <a:r>
            <a:rPr lang="en-IN" sz="1400">
              <a:solidFill>
                <a:schemeClr val="accent1"/>
              </a:solidFill>
              <a:latin typeface="Times New Roman" panose="02020603050405020304" pitchFamily="18" charset="0"/>
              <a:cs typeface="Times New Roman" panose="02020603050405020304" pitchFamily="18" charset="0"/>
            </a:rPr>
            <a:t> has the highest location-wise average salary at </a:t>
          </a:r>
          <a:r>
            <a:rPr lang="en-IN" sz="1400" b="1">
              <a:solidFill>
                <a:schemeClr val="accent1"/>
              </a:solidFill>
              <a:latin typeface="Times New Roman" panose="02020603050405020304" pitchFamily="18" charset="0"/>
              <a:cs typeface="Times New Roman" panose="02020603050405020304" pitchFamily="18" charset="0"/>
            </a:rPr>
            <a:t>₹74,053</a:t>
          </a:r>
          <a:r>
            <a:rPr lang="en-IN" sz="1400">
              <a:solidFill>
                <a:schemeClr val="accent1"/>
              </a:solidFill>
              <a:latin typeface="Times New Roman" panose="02020603050405020304" pitchFamily="18" charset="0"/>
              <a:cs typeface="Times New Roman" panose="02020603050405020304" pitchFamily="18" charset="0"/>
            </a:rPr>
            <a:t>.</a:t>
          </a:r>
          <a:endParaRPr lang="en-IN" sz="1400" b="0">
            <a:solidFill>
              <a:schemeClr val="accent1"/>
            </a:solidFill>
            <a:latin typeface="Times New Roman" panose="02020603050405020304" pitchFamily="18" charset="0"/>
            <a:cs typeface="Times New Roman" panose="02020603050405020304" pitchFamily="18" charset="0"/>
          </a:endParaRPr>
        </a:p>
      </xdr:txBody>
    </xdr:sp>
    <xdr:clientData/>
  </xdr:twoCellAnchor>
  <xdr:twoCellAnchor editAs="oneCell">
    <xdr:from>
      <xdr:col>9</xdr:col>
      <xdr:colOff>27200</xdr:colOff>
      <xdr:row>55</xdr:row>
      <xdr:rowOff>178513</xdr:rowOff>
    </xdr:from>
    <xdr:to>
      <xdr:col>12</xdr:col>
      <xdr:colOff>21555</xdr:colOff>
      <xdr:row>68</xdr:row>
      <xdr:rowOff>73447</xdr:rowOff>
    </xdr:to>
    <mc:AlternateContent xmlns:mc="http://schemas.openxmlformats.org/markup-compatibility/2006">
      <mc:Choice xmlns:a14="http://schemas.microsoft.com/office/drawing/2010/main" Requires="a14">
        <xdr:graphicFrame macro="">
          <xdr:nvGraphicFramePr>
            <xdr:cNvPr id="21" name="Department 1">
              <a:extLst>
                <a:ext uri="{FF2B5EF4-FFF2-40B4-BE49-F238E27FC236}">
                  <a16:creationId xmlns:a16="http://schemas.microsoft.com/office/drawing/2014/main" id="{F98106BE-2E1D-48CC-83A3-B62A330271F6}"/>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5513600" y="10236913"/>
              <a:ext cx="1823155" cy="22723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575608</xdr:colOff>
      <xdr:row>55</xdr:row>
      <xdr:rowOff>176983</xdr:rowOff>
    </xdr:from>
    <xdr:to>
      <xdr:col>8</xdr:col>
      <xdr:colOff>569963</xdr:colOff>
      <xdr:row>68</xdr:row>
      <xdr:rowOff>91807</xdr:rowOff>
    </xdr:to>
    <mc:AlternateContent xmlns:mc="http://schemas.openxmlformats.org/markup-compatibility/2006">
      <mc:Choice xmlns:a14="http://schemas.microsoft.com/office/drawing/2010/main" Requires="a14">
        <xdr:graphicFrame macro="">
          <xdr:nvGraphicFramePr>
            <xdr:cNvPr id="22" name="Location 1">
              <a:extLst>
                <a:ext uri="{FF2B5EF4-FFF2-40B4-BE49-F238E27FC236}">
                  <a16:creationId xmlns:a16="http://schemas.microsoft.com/office/drawing/2014/main" id="{53E09E0F-8FE2-440B-BAD7-FA13C5FFA2FD}"/>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dr:sp macro="" textlink="">
          <xdr:nvSpPr>
            <xdr:cNvPr id="0" name=""/>
            <xdr:cNvSpPr>
              <a:spLocks noTextEdit="1"/>
            </xdr:cNvSpPr>
          </xdr:nvSpPr>
          <xdr:spPr>
            <a:xfrm>
              <a:off x="3623608" y="10235383"/>
              <a:ext cx="1823155" cy="22922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538262</xdr:colOff>
      <xdr:row>55</xdr:row>
      <xdr:rowOff>173409</xdr:rowOff>
    </xdr:from>
    <xdr:to>
      <xdr:col>5</xdr:col>
      <xdr:colOff>532481</xdr:colOff>
      <xdr:row>68</xdr:row>
      <xdr:rowOff>82626</xdr:rowOff>
    </xdr:to>
    <mc:AlternateContent xmlns:mc="http://schemas.openxmlformats.org/markup-compatibility/2006">
      <mc:Choice xmlns:a14="http://schemas.microsoft.com/office/drawing/2010/main" Requires="a14">
        <xdr:graphicFrame macro="">
          <xdr:nvGraphicFramePr>
            <xdr:cNvPr id="23" name="Performance Rating 1">
              <a:extLst>
                <a:ext uri="{FF2B5EF4-FFF2-40B4-BE49-F238E27FC236}">
                  <a16:creationId xmlns:a16="http://schemas.microsoft.com/office/drawing/2014/main" id="{FC3BF5B6-77AB-4696-9B86-43EC08F48BC0}"/>
                </a:ext>
              </a:extLst>
            </xdr:cNvPr>
            <xdr:cNvGraphicFramePr/>
          </xdr:nvGraphicFramePr>
          <xdr:xfrm>
            <a:off x="0" y="0"/>
            <a:ext cx="0" cy="0"/>
          </xdr:xfrm>
          <a:graphic>
            <a:graphicData uri="http://schemas.microsoft.com/office/drawing/2010/slicer">
              <sle:slicer xmlns:sle="http://schemas.microsoft.com/office/drawing/2010/slicer" name="Performance Rating 1"/>
            </a:graphicData>
          </a:graphic>
        </xdr:graphicFrame>
      </mc:Choice>
      <mc:Fallback>
        <xdr:sp macro="" textlink="">
          <xdr:nvSpPr>
            <xdr:cNvPr id="0" name=""/>
            <xdr:cNvSpPr>
              <a:spLocks noTextEdit="1"/>
            </xdr:cNvSpPr>
          </xdr:nvSpPr>
          <xdr:spPr>
            <a:xfrm>
              <a:off x="1757462" y="10231809"/>
              <a:ext cx="1823019" cy="22866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9</xdr:col>
      <xdr:colOff>3</xdr:colOff>
      <xdr:row>0</xdr:row>
      <xdr:rowOff>190500</xdr:rowOff>
    </xdr:from>
    <xdr:to>
      <xdr:col>16</xdr:col>
      <xdr:colOff>523777</xdr:colOff>
      <xdr:row>21</xdr:row>
      <xdr:rowOff>0</xdr:rowOff>
    </xdr:to>
    <xdr:graphicFrame macro="">
      <xdr:nvGraphicFramePr>
        <xdr:cNvPr id="2" name="Chart 1">
          <a:extLst>
            <a:ext uri="{FF2B5EF4-FFF2-40B4-BE49-F238E27FC236}">
              <a16:creationId xmlns:a16="http://schemas.microsoft.com/office/drawing/2014/main" id="{1CEED578-B656-439D-A3E1-3EED62117D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3207</xdr:colOff>
      <xdr:row>24</xdr:row>
      <xdr:rowOff>216969</xdr:rowOff>
    </xdr:from>
    <xdr:to>
      <xdr:col>16</xdr:col>
      <xdr:colOff>525364</xdr:colOff>
      <xdr:row>46</xdr:row>
      <xdr:rowOff>10026</xdr:rowOff>
    </xdr:to>
    <xdr:graphicFrame macro="">
      <xdr:nvGraphicFramePr>
        <xdr:cNvPr id="3" name="Chart 2">
          <a:extLst>
            <a:ext uri="{FF2B5EF4-FFF2-40B4-BE49-F238E27FC236}">
              <a16:creationId xmlns:a16="http://schemas.microsoft.com/office/drawing/2014/main" id="{DB256115-3EC1-4D85-A89C-136C46C97E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6763</xdr:colOff>
      <xdr:row>49</xdr:row>
      <xdr:rowOff>210552</xdr:rowOff>
    </xdr:from>
    <xdr:to>
      <xdr:col>16</xdr:col>
      <xdr:colOff>528920</xdr:colOff>
      <xdr:row>68</xdr:row>
      <xdr:rowOff>10026</xdr:rowOff>
    </xdr:to>
    <xdr:graphicFrame macro="">
      <xdr:nvGraphicFramePr>
        <xdr:cNvPr id="4" name="Chart 3">
          <a:extLst>
            <a:ext uri="{FF2B5EF4-FFF2-40B4-BE49-F238E27FC236}">
              <a16:creationId xmlns:a16="http://schemas.microsoft.com/office/drawing/2014/main" id="{57B625E1-AAC0-4AAB-BE4C-6EDF3E9D28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0</xdr:colOff>
      <xdr:row>75</xdr:row>
      <xdr:rowOff>0</xdr:rowOff>
    </xdr:from>
    <xdr:to>
      <xdr:col>10</xdr:col>
      <xdr:colOff>393830</xdr:colOff>
      <xdr:row>88</xdr:row>
      <xdr:rowOff>131945</xdr:rowOff>
    </xdr:to>
    <mc:AlternateContent xmlns:mc="http://schemas.openxmlformats.org/markup-compatibility/2006">
      <mc:Choice xmlns:a14="http://schemas.microsoft.com/office/drawing/2010/main" Requires="a14">
        <xdr:graphicFrame macro="">
          <xdr:nvGraphicFramePr>
            <xdr:cNvPr id="5" name="Department">
              <a:extLst>
                <a:ext uri="{FF2B5EF4-FFF2-40B4-BE49-F238E27FC236}">
                  <a16:creationId xmlns:a16="http://schemas.microsoft.com/office/drawing/2014/main" id="{8C9F7FAD-18FD-4250-B700-E303D6D0C34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3443857" y="14931571"/>
              <a:ext cx="1827116" cy="26175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806803</xdr:colOff>
      <xdr:row>75</xdr:row>
      <xdr:rowOff>0</xdr:rowOff>
    </xdr:from>
    <xdr:to>
      <xdr:col>14</xdr:col>
      <xdr:colOff>970</xdr:colOff>
      <xdr:row>88</xdr:row>
      <xdr:rowOff>121920</xdr:rowOff>
    </xdr:to>
    <mc:AlternateContent xmlns:mc="http://schemas.openxmlformats.org/markup-compatibility/2006">
      <mc:Choice xmlns:a14="http://schemas.microsoft.com/office/drawing/2010/main" Requires="a14">
        <xdr:graphicFrame macro="">
          <xdr:nvGraphicFramePr>
            <xdr:cNvPr id="6" name="Location">
              <a:extLst>
                <a:ext uri="{FF2B5EF4-FFF2-40B4-BE49-F238E27FC236}">
                  <a16:creationId xmlns:a16="http://schemas.microsoft.com/office/drawing/2014/main" id="{9FC2088D-9697-48F2-A9CB-CE08D84B27B6}"/>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15683946" y="14931571"/>
              <a:ext cx="1861167" cy="26074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0</xdr:colOff>
      <xdr:row>75</xdr:row>
      <xdr:rowOff>0</xdr:rowOff>
    </xdr:from>
    <xdr:to>
      <xdr:col>16</xdr:col>
      <xdr:colOff>905801</xdr:colOff>
      <xdr:row>88</xdr:row>
      <xdr:rowOff>141973</xdr:rowOff>
    </xdr:to>
    <mc:AlternateContent xmlns:mc="http://schemas.openxmlformats.org/markup-compatibility/2006">
      <mc:Choice xmlns:a14="http://schemas.microsoft.com/office/drawing/2010/main" Requires="a14">
        <xdr:graphicFrame macro="">
          <xdr:nvGraphicFramePr>
            <xdr:cNvPr id="7" name="Performance Rating">
              <a:extLst>
                <a:ext uri="{FF2B5EF4-FFF2-40B4-BE49-F238E27FC236}">
                  <a16:creationId xmlns:a16="http://schemas.microsoft.com/office/drawing/2014/main" id="{BBE7641E-1C64-4CD7-B8E1-6BC44D4043E8}"/>
                </a:ext>
              </a:extLst>
            </xdr:cNvPr>
            <xdr:cNvGraphicFramePr/>
          </xdr:nvGraphicFramePr>
          <xdr:xfrm>
            <a:off x="0" y="0"/>
            <a:ext cx="0" cy="0"/>
          </xdr:xfrm>
          <a:graphic>
            <a:graphicData uri="http://schemas.microsoft.com/office/drawing/2010/slicer">
              <sle:slicer xmlns:sle="http://schemas.microsoft.com/office/drawing/2010/slicer" name="Performance Rating"/>
            </a:graphicData>
          </a:graphic>
        </xdr:graphicFrame>
      </mc:Choice>
      <mc:Fallback>
        <xdr:sp macro="" textlink="">
          <xdr:nvSpPr>
            <xdr:cNvPr id="0" name=""/>
            <xdr:cNvSpPr>
              <a:spLocks noTextEdit="1"/>
            </xdr:cNvSpPr>
          </xdr:nvSpPr>
          <xdr:spPr>
            <a:xfrm>
              <a:off x="17961429" y="14931571"/>
              <a:ext cx="1831086" cy="26275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data_analytics_Studymaterials\1%20st%20Project%20analysis.xlsx" TargetMode="External"/><Relationship Id="rId1" Type="http://schemas.openxmlformats.org/officeDocument/2006/relationships/externalLinkPath" Target="1%20st%20Project%20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aw_data"/>
      <sheetName val="Analysis"/>
      <sheetName val="Pivot_tables (2)"/>
      <sheetName val="Dashboards"/>
      <sheetName val="Pivot_table analysis index"/>
      <sheetName val="Pivot_tables"/>
    </sheetNames>
    <sheetDataSet>
      <sheetData sheetId="0">
        <row r="2">
          <cell r="E2">
            <v>45000</v>
          </cell>
          <cell r="F2">
            <v>3</v>
          </cell>
          <cell r="G2">
            <v>3.5</v>
          </cell>
        </row>
        <row r="3">
          <cell r="E3">
            <v>65000</v>
          </cell>
          <cell r="F3">
            <v>6</v>
          </cell>
          <cell r="G3">
            <v>4.5</v>
          </cell>
        </row>
        <row r="4">
          <cell r="E4">
            <v>38000</v>
          </cell>
          <cell r="F4">
            <v>2</v>
          </cell>
          <cell r="G4">
            <v>3</v>
          </cell>
        </row>
        <row r="5">
          <cell r="E5">
            <v>72000</v>
          </cell>
          <cell r="F5">
            <v>8</v>
          </cell>
          <cell r="G5">
            <v>5</v>
          </cell>
        </row>
        <row r="6">
          <cell r="E6">
            <v>55000</v>
          </cell>
          <cell r="F6">
            <v>5</v>
          </cell>
          <cell r="G6">
            <v>4</v>
          </cell>
        </row>
        <row r="7">
          <cell r="E7">
            <v>85000</v>
          </cell>
          <cell r="F7">
            <v>7</v>
          </cell>
          <cell r="G7">
            <v>4.5</v>
          </cell>
        </row>
        <row r="8">
          <cell r="E8">
            <v>42000</v>
          </cell>
          <cell r="F8">
            <v>4</v>
          </cell>
          <cell r="G8">
            <v>3.5</v>
          </cell>
        </row>
        <row r="9">
          <cell r="E9">
            <v>49000</v>
          </cell>
          <cell r="F9">
            <v>3</v>
          </cell>
          <cell r="G9">
            <v>3</v>
          </cell>
        </row>
        <row r="10">
          <cell r="E10">
            <v>60000</v>
          </cell>
          <cell r="F10">
            <v>5</v>
          </cell>
          <cell r="G10">
            <v>4</v>
          </cell>
        </row>
        <row r="11">
          <cell r="E11">
            <v>40000</v>
          </cell>
          <cell r="F11">
            <v>3</v>
          </cell>
          <cell r="G11">
            <v>3</v>
          </cell>
        </row>
        <row r="12">
          <cell r="E12">
            <v>78000</v>
          </cell>
          <cell r="F12">
            <v>9</v>
          </cell>
          <cell r="G12">
            <v>4.5</v>
          </cell>
        </row>
        <row r="13">
          <cell r="E13">
            <v>58000</v>
          </cell>
          <cell r="F13">
            <v>4</v>
          </cell>
          <cell r="G13">
            <v>3.5</v>
          </cell>
        </row>
        <row r="14">
          <cell r="E14">
            <v>90000</v>
          </cell>
          <cell r="F14">
            <v>8</v>
          </cell>
          <cell r="G14">
            <v>5</v>
          </cell>
        </row>
        <row r="15">
          <cell r="E15">
            <v>52000</v>
          </cell>
          <cell r="F15">
            <v>3</v>
          </cell>
          <cell r="G15">
            <v>4</v>
          </cell>
        </row>
        <row r="16">
          <cell r="E16">
            <v>47000</v>
          </cell>
          <cell r="F16">
            <v>5</v>
          </cell>
          <cell r="G16">
            <v>3</v>
          </cell>
        </row>
        <row r="17">
          <cell r="E17">
            <v>62000</v>
          </cell>
          <cell r="F17">
            <v>5</v>
          </cell>
          <cell r="G17">
            <v>4</v>
          </cell>
        </row>
        <row r="18">
          <cell r="E18">
            <v>110000</v>
          </cell>
          <cell r="F18">
            <v>12</v>
          </cell>
          <cell r="G18">
            <v>5</v>
          </cell>
        </row>
        <row r="19">
          <cell r="E19">
            <v>36000</v>
          </cell>
          <cell r="F19">
            <v>1</v>
          </cell>
          <cell r="G19">
            <v>2.5</v>
          </cell>
        </row>
        <row r="20">
          <cell r="E20">
            <v>63000</v>
          </cell>
          <cell r="F20">
            <v>7</v>
          </cell>
          <cell r="G20">
            <v>4</v>
          </cell>
        </row>
        <row r="21">
          <cell r="E21">
            <v>88000</v>
          </cell>
          <cell r="F21">
            <v>9</v>
          </cell>
          <cell r="G21">
            <v>4.5</v>
          </cell>
        </row>
        <row r="22">
          <cell r="E22">
            <v>75000</v>
          </cell>
          <cell r="F22">
            <v>8</v>
          </cell>
          <cell r="G22">
            <v>5</v>
          </cell>
        </row>
        <row r="23">
          <cell r="E23">
            <v>64000</v>
          </cell>
          <cell r="F23">
            <v>5</v>
          </cell>
          <cell r="G23">
            <v>4</v>
          </cell>
        </row>
        <row r="24">
          <cell r="E24">
            <v>67000</v>
          </cell>
          <cell r="F24">
            <v>6</v>
          </cell>
          <cell r="G24">
            <v>4</v>
          </cell>
        </row>
        <row r="25">
          <cell r="E25">
            <v>43000</v>
          </cell>
          <cell r="F25">
            <v>4</v>
          </cell>
          <cell r="G25">
            <v>3.5</v>
          </cell>
        </row>
        <row r="26">
          <cell r="E26">
            <v>59000</v>
          </cell>
          <cell r="F26">
            <v>5</v>
          </cell>
          <cell r="G26">
            <v>4</v>
          </cell>
        </row>
        <row r="27">
          <cell r="E27">
            <v>81000</v>
          </cell>
          <cell r="F27">
            <v>10</v>
          </cell>
          <cell r="G27">
            <v>4.5</v>
          </cell>
        </row>
        <row r="28">
          <cell r="E28">
            <v>93000</v>
          </cell>
          <cell r="F28">
            <v>11</v>
          </cell>
          <cell r="G28">
            <v>5</v>
          </cell>
        </row>
        <row r="29">
          <cell r="E29">
            <v>56000</v>
          </cell>
          <cell r="F29">
            <v>4</v>
          </cell>
          <cell r="G29">
            <v>3.5</v>
          </cell>
        </row>
        <row r="30">
          <cell r="E30">
            <v>68000</v>
          </cell>
          <cell r="F30">
            <v>6</v>
          </cell>
          <cell r="G30">
            <v>4.5</v>
          </cell>
        </row>
        <row r="31">
          <cell r="E31">
            <v>71000</v>
          </cell>
          <cell r="F31">
            <v>7</v>
          </cell>
          <cell r="G31">
            <v>4.5</v>
          </cell>
        </row>
        <row r="32">
          <cell r="E32">
            <v>39000</v>
          </cell>
          <cell r="F32">
            <v>2</v>
          </cell>
          <cell r="G32">
            <v>3</v>
          </cell>
        </row>
        <row r="33">
          <cell r="E33">
            <v>54000</v>
          </cell>
          <cell r="F33">
            <v>4</v>
          </cell>
          <cell r="G33">
            <v>3.5</v>
          </cell>
        </row>
        <row r="34">
          <cell r="E34">
            <v>102000</v>
          </cell>
          <cell r="F34">
            <v>10</v>
          </cell>
          <cell r="G34">
            <v>5</v>
          </cell>
        </row>
        <row r="35">
          <cell r="E35">
            <v>61000</v>
          </cell>
          <cell r="F35">
            <v>6</v>
          </cell>
          <cell r="G35">
            <v>4</v>
          </cell>
        </row>
        <row r="36">
          <cell r="E36">
            <v>46000</v>
          </cell>
          <cell r="F36">
            <v>3</v>
          </cell>
          <cell r="G36">
            <v>3</v>
          </cell>
        </row>
        <row r="37">
          <cell r="E37">
            <v>70000</v>
          </cell>
          <cell r="F37">
            <v>6</v>
          </cell>
          <cell r="G37">
            <v>4.5</v>
          </cell>
        </row>
        <row r="38">
          <cell r="E38">
            <v>84000</v>
          </cell>
          <cell r="F38">
            <v>9</v>
          </cell>
          <cell r="G38">
            <v>5</v>
          </cell>
        </row>
        <row r="39">
          <cell r="E39">
            <v>41000</v>
          </cell>
          <cell r="F39">
            <v>2</v>
          </cell>
          <cell r="G39">
            <v>3.5</v>
          </cell>
        </row>
        <row r="40">
          <cell r="E40">
            <v>69000</v>
          </cell>
          <cell r="F40">
            <v>6</v>
          </cell>
          <cell r="G40">
            <v>4</v>
          </cell>
        </row>
        <row r="41">
          <cell r="E41">
            <v>97000</v>
          </cell>
          <cell r="F41">
            <v>12</v>
          </cell>
          <cell r="G41">
            <v>5</v>
          </cell>
        </row>
        <row r="42">
          <cell r="E42">
            <v>50000</v>
          </cell>
          <cell r="F42">
            <v>4</v>
          </cell>
          <cell r="G42">
            <v>3.5</v>
          </cell>
        </row>
        <row r="43">
          <cell r="E43">
            <v>70000</v>
          </cell>
          <cell r="F43">
            <v>6</v>
          </cell>
          <cell r="G43">
            <v>4</v>
          </cell>
        </row>
        <row r="44">
          <cell r="E44">
            <v>76000</v>
          </cell>
          <cell r="F44">
            <v>7</v>
          </cell>
          <cell r="G44">
            <v>4.5</v>
          </cell>
        </row>
        <row r="45">
          <cell r="E45">
            <v>37000</v>
          </cell>
          <cell r="F45">
            <v>2</v>
          </cell>
          <cell r="G45">
            <v>3</v>
          </cell>
        </row>
        <row r="46">
          <cell r="E46">
            <v>53000</v>
          </cell>
          <cell r="F46">
            <v>5</v>
          </cell>
          <cell r="G46">
            <v>4</v>
          </cell>
        </row>
        <row r="47">
          <cell r="E47">
            <v>74000</v>
          </cell>
          <cell r="F47">
            <v>8</v>
          </cell>
          <cell r="G47">
            <v>4.5</v>
          </cell>
        </row>
        <row r="48">
          <cell r="E48">
            <v>89000</v>
          </cell>
          <cell r="F48">
            <v>9</v>
          </cell>
          <cell r="G48">
            <v>5</v>
          </cell>
        </row>
        <row r="49">
          <cell r="E49">
            <v>57000</v>
          </cell>
          <cell r="F49">
            <v>3</v>
          </cell>
          <cell r="G49">
            <v>3.5</v>
          </cell>
        </row>
        <row r="50">
          <cell r="E50">
            <v>71000</v>
          </cell>
          <cell r="F50">
            <v>7</v>
          </cell>
          <cell r="G50">
            <v>4.5</v>
          </cell>
        </row>
        <row r="51">
          <cell r="E51">
            <v>66000</v>
          </cell>
          <cell r="F51">
            <v>6</v>
          </cell>
          <cell r="G51">
            <v>4</v>
          </cell>
        </row>
        <row r="52">
          <cell r="E52">
            <v>44000</v>
          </cell>
          <cell r="F52">
            <v>3</v>
          </cell>
          <cell r="G52">
            <v>3</v>
          </cell>
        </row>
        <row r="53">
          <cell r="E53">
            <v>60000</v>
          </cell>
          <cell r="F53">
            <v>5</v>
          </cell>
          <cell r="G53">
            <v>4</v>
          </cell>
        </row>
        <row r="54">
          <cell r="E54">
            <v>108000</v>
          </cell>
          <cell r="F54">
            <v>11</v>
          </cell>
          <cell r="G54">
            <v>5</v>
          </cell>
        </row>
        <row r="55">
          <cell r="E55">
            <v>48000</v>
          </cell>
          <cell r="F55">
            <v>2</v>
          </cell>
          <cell r="G55">
            <v>3</v>
          </cell>
        </row>
        <row r="56">
          <cell r="E56">
            <v>51000</v>
          </cell>
          <cell r="F56">
            <v>4</v>
          </cell>
          <cell r="G56">
            <v>3.5</v>
          </cell>
        </row>
        <row r="57">
          <cell r="E57">
            <v>73000</v>
          </cell>
          <cell r="F57">
            <v>8</v>
          </cell>
          <cell r="G57">
            <v>4.5</v>
          </cell>
        </row>
        <row r="58">
          <cell r="E58">
            <v>91000</v>
          </cell>
          <cell r="F58">
            <v>10</v>
          </cell>
          <cell r="G58">
            <v>5</v>
          </cell>
        </row>
        <row r="59">
          <cell r="E59">
            <v>35000</v>
          </cell>
          <cell r="F59">
            <v>1</v>
          </cell>
          <cell r="G59">
            <v>2.5</v>
          </cell>
        </row>
        <row r="60">
          <cell r="E60">
            <v>68000</v>
          </cell>
          <cell r="F60">
            <v>7</v>
          </cell>
          <cell r="G60">
            <v>4</v>
          </cell>
        </row>
        <row r="61">
          <cell r="E61">
            <v>86000</v>
          </cell>
          <cell r="F61">
            <v>8</v>
          </cell>
          <cell r="G61">
            <v>4.5</v>
          </cell>
        </row>
        <row r="62">
          <cell r="E62">
            <v>55000</v>
          </cell>
          <cell r="F62">
            <v>5</v>
          </cell>
          <cell r="G62">
            <v>3.5</v>
          </cell>
        </row>
        <row r="63">
          <cell r="E63">
            <v>76000</v>
          </cell>
          <cell r="F63">
            <v>8</v>
          </cell>
          <cell r="G63">
            <v>4.5</v>
          </cell>
        </row>
        <row r="64">
          <cell r="E64">
            <v>62000</v>
          </cell>
          <cell r="F64">
            <v>4</v>
          </cell>
          <cell r="G64">
            <v>4</v>
          </cell>
        </row>
        <row r="65">
          <cell r="E65">
            <v>45000</v>
          </cell>
          <cell r="F65">
            <v>3</v>
          </cell>
          <cell r="G65">
            <v>3</v>
          </cell>
        </row>
        <row r="66">
          <cell r="E66">
            <v>58000</v>
          </cell>
          <cell r="F66">
            <v>6</v>
          </cell>
          <cell r="G66">
            <v>4</v>
          </cell>
        </row>
        <row r="67">
          <cell r="E67">
            <v>77000</v>
          </cell>
          <cell r="F67">
            <v>9</v>
          </cell>
          <cell r="G67">
            <v>4.5</v>
          </cell>
        </row>
        <row r="68">
          <cell r="E68">
            <v>99000</v>
          </cell>
          <cell r="F68">
            <v>10</v>
          </cell>
          <cell r="G68">
            <v>5</v>
          </cell>
        </row>
        <row r="69">
          <cell r="E69">
            <v>53000</v>
          </cell>
          <cell r="F69">
            <v>4</v>
          </cell>
          <cell r="G69">
            <v>3.5</v>
          </cell>
        </row>
        <row r="70">
          <cell r="E70">
            <v>79000</v>
          </cell>
          <cell r="F70">
            <v>8</v>
          </cell>
          <cell r="G70">
            <v>4.5</v>
          </cell>
        </row>
        <row r="71">
          <cell r="E71">
            <v>73000</v>
          </cell>
          <cell r="F71">
            <v>7</v>
          </cell>
          <cell r="G71">
            <v>4.5</v>
          </cell>
        </row>
        <row r="72">
          <cell r="E72">
            <v>40000</v>
          </cell>
          <cell r="F72">
            <v>2</v>
          </cell>
          <cell r="G72">
            <v>3</v>
          </cell>
        </row>
        <row r="73">
          <cell r="E73">
            <v>65000</v>
          </cell>
          <cell r="F73">
            <v>5</v>
          </cell>
          <cell r="G73">
            <v>4</v>
          </cell>
        </row>
        <row r="74">
          <cell r="E74">
            <v>112000</v>
          </cell>
          <cell r="F74">
            <v>13</v>
          </cell>
          <cell r="G74">
            <v>5</v>
          </cell>
        </row>
        <row r="75">
          <cell r="E75">
            <v>59000</v>
          </cell>
          <cell r="F75">
            <v>6</v>
          </cell>
          <cell r="G75">
            <v>4</v>
          </cell>
        </row>
        <row r="76">
          <cell r="E76">
            <v>47000</v>
          </cell>
          <cell r="F76">
            <v>3</v>
          </cell>
          <cell r="G76">
            <v>3.5</v>
          </cell>
        </row>
        <row r="77">
          <cell r="E77">
            <v>82000</v>
          </cell>
          <cell r="F77">
            <v>7</v>
          </cell>
          <cell r="G77">
            <v>4.5</v>
          </cell>
        </row>
        <row r="78">
          <cell r="E78">
            <v>83000</v>
          </cell>
          <cell r="F78">
            <v>9</v>
          </cell>
          <cell r="G78">
            <v>5</v>
          </cell>
        </row>
        <row r="79">
          <cell r="E79">
            <v>38000</v>
          </cell>
          <cell r="F79">
            <v>2</v>
          </cell>
          <cell r="G79">
            <v>3</v>
          </cell>
        </row>
        <row r="80">
          <cell r="E80">
            <v>56000</v>
          </cell>
          <cell r="F80">
            <v>5</v>
          </cell>
          <cell r="G80">
            <v>4</v>
          </cell>
        </row>
        <row r="81">
          <cell r="E81">
            <v>94000</v>
          </cell>
          <cell r="F81">
            <v>11</v>
          </cell>
          <cell r="G81">
            <v>5</v>
          </cell>
        </row>
        <row r="82">
          <cell r="E82">
            <v>62000</v>
          </cell>
          <cell r="F82">
            <v>5</v>
          </cell>
          <cell r="G82">
            <v>4</v>
          </cell>
        </row>
        <row r="83">
          <cell r="E83">
            <v>85000</v>
          </cell>
          <cell r="F83">
            <v>8</v>
          </cell>
          <cell r="G83">
            <v>4.5</v>
          </cell>
        </row>
        <row r="84">
          <cell r="E84">
            <v>69000</v>
          </cell>
          <cell r="F84">
            <v>6</v>
          </cell>
          <cell r="G84">
            <v>4</v>
          </cell>
        </row>
        <row r="85">
          <cell r="E85">
            <v>42000</v>
          </cell>
          <cell r="F85">
            <v>3</v>
          </cell>
          <cell r="G85">
            <v>3.5</v>
          </cell>
        </row>
        <row r="86">
          <cell r="E86">
            <v>54000</v>
          </cell>
          <cell r="F86">
            <v>4</v>
          </cell>
          <cell r="G86">
            <v>3.5</v>
          </cell>
        </row>
        <row r="87">
          <cell r="E87">
            <v>80000</v>
          </cell>
          <cell r="F87">
            <v>9</v>
          </cell>
          <cell r="G87">
            <v>4.5</v>
          </cell>
        </row>
        <row r="88">
          <cell r="E88">
            <v>105000</v>
          </cell>
          <cell r="F88">
            <v>12</v>
          </cell>
          <cell r="G88">
            <v>5</v>
          </cell>
        </row>
        <row r="89">
          <cell r="E89">
            <v>51000</v>
          </cell>
          <cell r="F89">
            <v>3</v>
          </cell>
          <cell r="G89">
            <v>3.5</v>
          </cell>
        </row>
        <row r="90">
          <cell r="E90">
            <v>87000</v>
          </cell>
          <cell r="F90">
            <v>9</v>
          </cell>
          <cell r="G90">
            <v>5</v>
          </cell>
        </row>
        <row r="91">
          <cell r="E91">
            <v>74000</v>
          </cell>
          <cell r="F91">
            <v>7</v>
          </cell>
          <cell r="G91">
            <v>4.5</v>
          </cell>
        </row>
        <row r="92">
          <cell r="E92">
            <v>46000</v>
          </cell>
          <cell r="F92">
            <v>4</v>
          </cell>
          <cell r="G92">
            <v>3</v>
          </cell>
        </row>
        <row r="93">
          <cell r="E93">
            <v>63000</v>
          </cell>
          <cell r="F93">
            <v>6</v>
          </cell>
          <cell r="G93">
            <v>4</v>
          </cell>
        </row>
        <row r="94">
          <cell r="E94">
            <v>98000</v>
          </cell>
          <cell r="F94">
            <v>10</v>
          </cell>
          <cell r="G94">
            <v>5</v>
          </cell>
        </row>
        <row r="95">
          <cell r="E95">
            <v>60000</v>
          </cell>
          <cell r="F95">
            <v>5</v>
          </cell>
          <cell r="G95">
            <v>4</v>
          </cell>
        </row>
        <row r="96">
          <cell r="E96">
            <v>49000</v>
          </cell>
          <cell r="F96">
            <v>3</v>
          </cell>
          <cell r="G96">
            <v>3.5</v>
          </cell>
        </row>
        <row r="97">
          <cell r="E97">
            <v>90000</v>
          </cell>
          <cell r="F97">
            <v>10</v>
          </cell>
          <cell r="G97">
            <v>5</v>
          </cell>
        </row>
        <row r="98">
          <cell r="E98">
            <v>92000</v>
          </cell>
          <cell r="F98">
            <v>11</v>
          </cell>
          <cell r="G98">
            <v>5</v>
          </cell>
        </row>
        <row r="99">
          <cell r="E99">
            <v>39000</v>
          </cell>
          <cell r="F99">
            <v>2</v>
          </cell>
          <cell r="G99">
            <v>3</v>
          </cell>
        </row>
        <row r="100">
          <cell r="E100">
            <v>67000</v>
          </cell>
          <cell r="F100">
            <v>7</v>
          </cell>
          <cell r="G100">
            <v>4</v>
          </cell>
        </row>
        <row r="101">
          <cell r="E101">
            <v>103000</v>
          </cell>
          <cell r="F101">
            <v>12</v>
          </cell>
          <cell r="G101">
            <v>5</v>
          </cell>
        </row>
        <row r="102">
          <cell r="E102">
            <v>95000</v>
          </cell>
          <cell r="F102">
            <v>10</v>
          </cell>
          <cell r="G102">
            <v>5</v>
          </cell>
        </row>
      </sheetData>
      <sheetData sheetId="1" refreshError="1"/>
      <sheetData sheetId="2" refreshError="1"/>
      <sheetData sheetId="3" refreshError="1"/>
      <sheetData sheetId="4" refreshError="1"/>
      <sheetData sheetId="5" refreshError="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1%20st%20Project%20analysis.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lakshmi Ramkumar" refreshedDate="46288.668662037038" createdVersion="8" refreshedVersion="8" minRefreshableVersion="3" recordCount="101" xr:uid="{5E6FD6A9-7994-421E-AF05-8ED09BAB934D}">
  <cacheSource type="worksheet">
    <worksheetSource name="empdetail" r:id="rId2"/>
  </cacheSource>
  <cacheFields count="11">
    <cacheField name="Employee ID" numFmtId="0">
      <sharedItems/>
    </cacheField>
    <cacheField name="Employee Name" numFmtId="0">
      <sharedItems/>
    </cacheField>
    <cacheField name="Department" numFmtId="0">
      <sharedItems count="7">
        <s v="IT"/>
        <s v="Finance"/>
        <s v="HR"/>
        <s v="Sales"/>
        <s v="Marketing"/>
        <s v="Analytics"/>
        <s v="Operations"/>
      </sharedItems>
    </cacheField>
    <cacheField name="Location" numFmtId="0">
      <sharedItems count="5">
        <s v="Chennai"/>
        <s v="Bengaluru"/>
        <s v="Hyderabad"/>
        <s v="Pune"/>
        <s v="Mumbai"/>
      </sharedItems>
    </cacheField>
    <cacheField name="Salary" numFmtId="0">
      <sharedItems containsSemiMixedTypes="0" containsString="0" containsNumber="1" containsInteger="1" minValue="35000" maxValue="112000" count="70">
        <n v="45000"/>
        <n v="65000"/>
        <n v="38000"/>
        <n v="72000"/>
        <n v="55000"/>
        <n v="85000"/>
        <n v="42000"/>
        <n v="49000"/>
        <n v="60000"/>
        <n v="40000"/>
        <n v="78000"/>
        <n v="58000"/>
        <n v="90000"/>
        <n v="52000"/>
        <n v="47000"/>
        <n v="62000"/>
        <n v="110000"/>
        <n v="36000"/>
        <n v="63000"/>
        <n v="88000"/>
        <n v="75000"/>
        <n v="64000"/>
        <n v="67000"/>
        <n v="43000"/>
        <n v="59000"/>
        <n v="81000"/>
        <n v="93000"/>
        <n v="56000"/>
        <n v="68000"/>
        <n v="71000"/>
        <n v="39000"/>
        <n v="54000"/>
        <n v="102000"/>
        <n v="61000"/>
        <n v="46000"/>
        <n v="70000"/>
        <n v="84000"/>
        <n v="41000"/>
        <n v="69000"/>
        <n v="97000"/>
        <n v="50000"/>
        <n v="76000"/>
        <n v="37000"/>
        <n v="53000"/>
        <n v="74000"/>
        <n v="89000"/>
        <n v="57000"/>
        <n v="66000"/>
        <n v="44000"/>
        <n v="108000"/>
        <n v="48000"/>
        <n v="51000"/>
        <n v="73000"/>
        <n v="91000"/>
        <n v="35000"/>
        <n v="86000"/>
        <n v="77000"/>
        <n v="99000"/>
        <n v="79000"/>
        <n v="112000"/>
        <n v="82000"/>
        <n v="83000"/>
        <n v="94000"/>
        <n v="80000"/>
        <n v="105000"/>
        <n v="87000"/>
        <n v="98000"/>
        <n v="92000"/>
        <n v="103000"/>
        <n v="95000"/>
      </sharedItems>
      <fieldGroup base="4">
        <rangePr startNum="35000" endNum="112000" groupInterval="15000"/>
        <groupItems count="8">
          <s v="&lt;35000"/>
          <s v="35000-49999"/>
          <s v="50000-64999"/>
          <s v="65000-79999"/>
          <s v="80000-94999"/>
          <s v="95000-109999"/>
          <s v="110000-124999"/>
          <s v="&gt;125000"/>
        </groupItems>
      </fieldGroup>
    </cacheField>
    <cacheField name="Experience" numFmtId="0">
      <sharedItems containsSemiMixedTypes="0" containsString="0" containsNumber="1" containsInteger="1" minValue="1" maxValue="13" count="13">
        <n v="3"/>
        <n v="6"/>
        <n v="2"/>
        <n v="8"/>
        <n v="5"/>
        <n v="7"/>
        <n v="4"/>
        <n v="9"/>
        <n v="12"/>
        <n v="1"/>
        <n v="10"/>
        <n v="11"/>
        <n v="13"/>
      </sharedItems>
      <fieldGroup base="5">
        <rangePr startNum="1" endNum="13" groupInterval="3"/>
        <groupItems count="6">
          <s v="&lt;1"/>
          <s v="1-3"/>
          <s v="4-6"/>
          <s v="7-9"/>
          <s v="10-13"/>
          <s v="&gt;13"/>
        </groupItems>
      </fieldGroup>
    </cacheField>
    <cacheField name="Performance Rating" numFmtId="0">
      <sharedItems containsSemiMixedTypes="0" containsString="0" containsNumber="1" minValue="2.5" maxValue="5" count="6">
        <n v="3.5"/>
        <n v="4.5"/>
        <n v="3"/>
        <n v="5"/>
        <n v="4"/>
        <n v="2.5"/>
      </sharedItems>
    </cacheField>
    <cacheField name="Joining Date" numFmtId="14">
      <sharedItems containsSemiMixedTypes="0" containsNonDate="0" containsDate="1" containsString="0" minDate="2014-02-15T00:00:00" maxDate="2024-09-11T00:00:00"/>
    </cacheField>
    <cacheField name="Age" numFmtId="0">
      <sharedItems containsSemiMixedTypes="0" containsString="0" containsNumber="1" containsInteger="1" minValue="23" maxValue="44"/>
    </cacheField>
    <cacheField name="Sales" numFmtId="0">
      <sharedItems containsSemiMixedTypes="0" containsString="0" containsNumber="1" containsInteger="1" minValue="140000" maxValue="1000000"/>
    </cacheField>
    <cacheField name="Status" numFmtId="0">
      <sharedItems/>
    </cacheField>
  </cacheFields>
  <extLst>
    <ext xmlns:x14="http://schemas.microsoft.com/office/spreadsheetml/2009/9/main" uri="{725AE2AE-9491-48be-B2B4-4EB974FC3084}">
      <x14:pivotCacheDefinition pivotCacheId="18956415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
  <r>
    <s v="E001"/>
    <s v="Arun Kumar"/>
    <x v="0"/>
    <x v="0"/>
    <x v="0"/>
    <x v="0"/>
    <x v="0"/>
    <d v="2021-06-15T00:00:00"/>
    <n v="27"/>
    <n v="325000"/>
    <s v="Active"/>
  </r>
  <r>
    <s v="E002"/>
    <s v="Priya R"/>
    <x v="1"/>
    <x v="1"/>
    <x v="1"/>
    <x v="1"/>
    <x v="1"/>
    <d v="2019-02-10T00:00:00"/>
    <n v="32"/>
    <n v="450000"/>
    <s v="Active"/>
  </r>
  <r>
    <s v="E003"/>
    <s v="Ravi S"/>
    <x v="2"/>
    <x v="0"/>
    <x v="2"/>
    <x v="2"/>
    <x v="2"/>
    <d v="2022-08-21T00:00:00"/>
    <n v="25"/>
    <n v="180000"/>
    <s v="Active"/>
  </r>
  <r>
    <s v="E004"/>
    <s v="Divya P"/>
    <x v="3"/>
    <x v="2"/>
    <x v="3"/>
    <x v="3"/>
    <x v="3"/>
    <d v="2018-01-05T00:00:00"/>
    <n v="35"/>
    <n v="850000"/>
    <s v="Active"/>
  </r>
  <r>
    <s v="E005"/>
    <s v="Kumar M"/>
    <x v="4"/>
    <x v="3"/>
    <x v="4"/>
    <x v="4"/>
    <x v="4"/>
    <d v="2020-11-18T00:00:00"/>
    <n v="30"/>
    <n v="520000"/>
    <s v="Active"/>
  </r>
  <r>
    <s v="E006"/>
    <s v="Meena K"/>
    <x v="5"/>
    <x v="0"/>
    <x v="5"/>
    <x v="5"/>
    <x v="1"/>
    <d v="2019-03-12T00:00:00"/>
    <n v="34"/>
    <n v="750000"/>
    <s v="Active"/>
  </r>
  <r>
    <s v="E007"/>
    <s v="Suresh R"/>
    <x v="6"/>
    <x v="4"/>
    <x v="6"/>
    <x v="6"/>
    <x v="0"/>
    <d v="2020-07-25T00:00:00"/>
    <n v="29"/>
    <n v="290000"/>
    <s v="On Leave"/>
  </r>
  <r>
    <s v="E022"/>
    <s v="Priya T"/>
    <x v="0"/>
    <x v="3"/>
    <x v="7"/>
    <x v="0"/>
    <x v="2"/>
    <d v="2021-11-15T00:00:00"/>
    <n v="28"/>
    <n v="300000"/>
    <s v="Active"/>
  </r>
  <r>
    <s v="E009"/>
    <s v="Vijay P"/>
    <x v="1"/>
    <x v="0"/>
    <x v="8"/>
    <x v="4"/>
    <x v="4"/>
    <d v="2020-09-14T00:00:00"/>
    <n v="31"/>
    <n v="410000"/>
    <s v="Active"/>
  </r>
  <r>
    <s v="E010"/>
    <s v="Lakshmi M"/>
    <x v="2"/>
    <x v="2"/>
    <x v="9"/>
    <x v="0"/>
    <x v="2"/>
    <d v="2022-01-20T00:00:00"/>
    <n v="26"/>
    <n v="210000"/>
    <s v="Active"/>
  </r>
  <r>
    <s v="E011"/>
    <s v="Karthik R"/>
    <x v="3"/>
    <x v="0"/>
    <x v="10"/>
    <x v="7"/>
    <x v="1"/>
    <d v="2017-06-03T00:00:00"/>
    <n v="37"/>
    <n v="880000"/>
    <s v="Active"/>
  </r>
  <r>
    <s v="E012"/>
    <s v="Swetha K"/>
    <x v="4"/>
    <x v="1"/>
    <x v="11"/>
    <x v="6"/>
    <x v="0"/>
    <d v="2021-10-11T00:00:00"/>
    <n v="28"/>
    <n v="460000"/>
    <s v="Active"/>
  </r>
  <r>
    <s v="E013"/>
    <s v="Rahul S"/>
    <x v="5"/>
    <x v="3"/>
    <x v="12"/>
    <x v="3"/>
    <x v="3"/>
    <d v="2018-05-17T00:00:00"/>
    <n v="36"/>
    <n v="790000"/>
    <s v="Active"/>
  </r>
  <r>
    <s v="E014"/>
    <s v="Nithya P"/>
    <x v="2"/>
    <x v="4"/>
    <x v="13"/>
    <x v="0"/>
    <x v="4"/>
    <d v="2022-02-22T00:00:00"/>
    <n v="27"/>
    <n v="350000"/>
    <s v="Active"/>
  </r>
  <r>
    <s v="E015"/>
    <s v="Gokul M"/>
    <x v="6"/>
    <x v="0"/>
    <x v="14"/>
    <x v="4"/>
    <x v="2"/>
    <d v="2020-08-09T00:00:00"/>
    <n v="30"/>
    <n v="280000"/>
    <s v="Resigned"/>
  </r>
  <r>
    <s v="E029"/>
    <s v="Vijay R"/>
    <x v="0"/>
    <x v="1"/>
    <x v="15"/>
    <x v="4"/>
    <x v="4"/>
    <d v="2020-12-09T00:00:00"/>
    <n v="30"/>
    <n v="480000"/>
    <s v="On Leave"/>
  </r>
  <r>
    <s v="E017"/>
    <s v="Manoj K"/>
    <x v="3"/>
    <x v="1"/>
    <x v="16"/>
    <x v="8"/>
    <x v="3"/>
    <d v="2015-03-04T00:00:00"/>
    <n v="42"/>
    <n v="980000"/>
    <s v="Active"/>
  </r>
  <r>
    <s v="E018"/>
    <s v="Harini S"/>
    <x v="2"/>
    <x v="3"/>
    <x v="17"/>
    <x v="9"/>
    <x v="5"/>
    <d v="2023-07-28T00:00:00"/>
    <n v="24"/>
    <n v="150000"/>
    <s v="Active"/>
  </r>
  <r>
    <s v="E019"/>
    <s v="Santhosh P"/>
    <x v="4"/>
    <x v="0"/>
    <x v="18"/>
    <x v="5"/>
    <x v="4"/>
    <d v="2019-01-13T00:00:00"/>
    <n v="35"/>
    <n v="570000"/>
    <s v="Active"/>
  </r>
  <r>
    <s v="E020"/>
    <s v="Keerthi M"/>
    <x v="5"/>
    <x v="4"/>
    <x v="19"/>
    <x v="7"/>
    <x v="1"/>
    <d v="2017-06-19T00:00:00"/>
    <n v="38"/>
    <n v="820000"/>
    <s v="Active"/>
  </r>
  <r>
    <s v="E021"/>
    <s v="Arun Kumar"/>
    <x v="1"/>
    <x v="0"/>
    <x v="20"/>
    <x v="3"/>
    <x v="3"/>
    <d v="2017-09-07T00:00:00"/>
    <n v="36"/>
    <n v="680000"/>
    <s v="Active"/>
  </r>
  <r>
    <s v="E042"/>
    <s v="Priya M"/>
    <x v="0"/>
    <x v="2"/>
    <x v="21"/>
    <x v="4"/>
    <x v="4"/>
    <d v="2020-02-26T00:00:00"/>
    <n v="31"/>
    <n v="510000"/>
    <s v="Active"/>
  </r>
  <r>
    <s v="E023"/>
    <s v="Ravi K"/>
    <x v="3"/>
    <x v="2"/>
    <x v="22"/>
    <x v="1"/>
    <x v="4"/>
    <d v="2019-04-23T00:00:00"/>
    <n v="32"/>
    <n v="620000"/>
    <s v="Active"/>
  </r>
  <r>
    <s v="E024"/>
    <s v="Divya S"/>
    <x v="2"/>
    <x v="1"/>
    <x v="23"/>
    <x v="6"/>
    <x v="0"/>
    <d v="2020-10-30T00:00:00"/>
    <n v="29"/>
    <n v="240000"/>
    <s v="Active"/>
  </r>
  <r>
    <s v="E025"/>
    <s v="Kumar R"/>
    <x v="6"/>
    <x v="0"/>
    <x v="24"/>
    <x v="4"/>
    <x v="4"/>
    <d v="2020-02-12T00:00:00"/>
    <n v="31"/>
    <n v="390000"/>
    <s v="Active"/>
  </r>
  <r>
    <s v="E026"/>
    <s v="Meena P"/>
    <x v="4"/>
    <x v="4"/>
    <x v="25"/>
    <x v="10"/>
    <x v="1"/>
    <d v="2016-05-06T00:00:00"/>
    <n v="40"/>
    <n v="730000"/>
    <s v="Active"/>
  </r>
  <r>
    <s v="E027"/>
    <s v="Suresh M"/>
    <x v="5"/>
    <x v="0"/>
    <x v="26"/>
    <x v="11"/>
    <x v="3"/>
    <d v="2015-08-18T00:00:00"/>
    <n v="41"/>
    <n v="910000"/>
    <s v="Active"/>
  </r>
  <r>
    <s v="E028"/>
    <s v="Anitha K"/>
    <x v="1"/>
    <x v="2"/>
    <x v="27"/>
    <x v="6"/>
    <x v="0"/>
    <d v="2021-03-27T00:00:00"/>
    <n v="29"/>
    <n v="370000"/>
    <s v="Active"/>
  </r>
  <r>
    <s v="E016"/>
    <s v="Deepa R"/>
    <x v="0"/>
    <x v="2"/>
    <x v="28"/>
    <x v="1"/>
    <x v="1"/>
    <d v="2019-12-16T00:00:00"/>
    <n v="33"/>
    <n v="610000"/>
    <s v="Active"/>
  </r>
  <r>
    <s v="E030"/>
    <s v="Lakshmi S"/>
    <x v="3"/>
    <x v="3"/>
    <x v="29"/>
    <x v="5"/>
    <x v="1"/>
    <d v="2018-07-16T00:00:00"/>
    <n v="34"/>
    <n v="690000"/>
    <s v="Active"/>
  </r>
  <r>
    <s v="E031"/>
    <s v="Karthik P"/>
    <x v="2"/>
    <x v="0"/>
    <x v="30"/>
    <x v="2"/>
    <x v="2"/>
    <d v="2023-01-24T00:00:00"/>
    <n v="25"/>
    <n v="190000"/>
    <s v="Active"/>
  </r>
  <r>
    <s v="E032"/>
    <s v="Swetha M"/>
    <x v="4"/>
    <x v="2"/>
    <x v="31"/>
    <x v="6"/>
    <x v="0"/>
    <d v="2021-09-13T00:00:00"/>
    <n v="28"/>
    <n v="430000"/>
    <s v="Active"/>
  </r>
  <r>
    <s v="E033"/>
    <s v="Rahul K"/>
    <x v="5"/>
    <x v="1"/>
    <x v="32"/>
    <x v="10"/>
    <x v="3"/>
    <d v="2016-06-05T00:00:00"/>
    <n v="40"/>
    <n v="950000"/>
    <s v="Active"/>
  </r>
  <r>
    <s v="E034"/>
    <s v="Nithya R"/>
    <x v="1"/>
    <x v="3"/>
    <x v="33"/>
    <x v="1"/>
    <x v="4"/>
    <d v="2019-11-21T00:00:00"/>
    <n v="32"/>
    <n v="440000"/>
    <s v="Active"/>
  </r>
  <r>
    <s v="E035"/>
    <s v="Gokul S"/>
    <x v="6"/>
    <x v="4"/>
    <x v="34"/>
    <x v="0"/>
    <x v="2"/>
    <d v="2022-04-08T00:00:00"/>
    <n v="27"/>
    <n v="270000"/>
    <s v="Active"/>
  </r>
  <r>
    <s v="E056"/>
    <s v="Deepa M"/>
    <x v="0"/>
    <x v="0"/>
    <x v="35"/>
    <x v="1"/>
    <x v="1"/>
    <d v="2019-04-17T00:00:00"/>
    <n v="33"/>
    <n v="610000"/>
    <s v="Active"/>
  </r>
  <r>
    <s v="E037"/>
    <s v="Manoj R"/>
    <x v="3"/>
    <x v="2"/>
    <x v="36"/>
    <x v="7"/>
    <x v="3"/>
    <d v="2017-05-29T00:00:00"/>
    <n v="38"/>
    <n v="890000"/>
    <s v="Active"/>
  </r>
  <r>
    <s v="E038"/>
    <s v="Harini K"/>
    <x v="2"/>
    <x v="1"/>
    <x v="37"/>
    <x v="2"/>
    <x v="0"/>
    <d v="2022-08-14T00:00:00"/>
    <n v="26"/>
    <n v="220000"/>
    <s v="Active"/>
  </r>
  <r>
    <s v="E039"/>
    <s v="Santhosh M"/>
    <x v="4"/>
    <x v="3"/>
    <x v="38"/>
    <x v="1"/>
    <x v="4"/>
    <d v="2019-10-02T00:00:00"/>
    <n v="33"/>
    <n v="540000"/>
    <s v="Active"/>
  </r>
  <r>
    <s v="E040"/>
    <s v="Keerthi S"/>
    <x v="5"/>
    <x v="0"/>
    <x v="39"/>
    <x v="8"/>
    <x v="3"/>
    <d v="2014-03-11T00:00:00"/>
    <n v="43"/>
    <n v="970000"/>
    <s v="Active"/>
  </r>
  <r>
    <s v="E041"/>
    <s v="Arun P"/>
    <x v="1"/>
    <x v="4"/>
    <x v="40"/>
    <x v="6"/>
    <x v="0"/>
    <d v="2021-06-19T00:00:00"/>
    <n v="29"/>
    <n v="330000"/>
    <s v="Active"/>
  </r>
  <r>
    <s v="E101"/>
    <s v="New Employee"/>
    <x v="0"/>
    <x v="0"/>
    <x v="35"/>
    <x v="1"/>
    <x v="4"/>
    <d v="2024-09-10T00:00:00"/>
    <n v="30"/>
    <n v="600000"/>
    <s v="Active"/>
  </r>
  <r>
    <s v="E043"/>
    <s v="Ravi P"/>
    <x v="3"/>
    <x v="0"/>
    <x v="41"/>
    <x v="5"/>
    <x v="1"/>
    <d v="2018-07-07T00:00:00"/>
    <n v="35"/>
    <n v="720000"/>
    <s v="Active"/>
  </r>
  <r>
    <s v="E044"/>
    <s v="Divya R"/>
    <x v="2"/>
    <x v="3"/>
    <x v="42"/>
    <x v="2"/>
    <x v="2"/>
    <d v="2022-12-15T00:00:00"/>
    <n v="25"/>
    <n v="175000"/>
    <s v="Active"/>
  </r>
  <r>
    <s v="E045"/>
    <s v="Kumar S"/>
    <x v="6"/>
    <x v="1"/>
    <x v="43"/>
    <x v="4"/>
    <x v="4"/>
    <d v="2020-09-23T00:00:00"/>
    <n v="30"/>
    <n v="360000"/>
    <s v="Active"/>
  </r>
  <r>
    <s v="E046"/>
    <s v="Meena R"/>
    <x v="4"/>
    <x v="0"/>
    <x v="44"/>
    <x v="3"/>
    <x v="1"/>
    <d v="2018-04-04T00:00:00"/>
    <n v="36"/>
    <n v="640000"/>
    <s v="Active"/>
  </r>
  <r>
    <s v="E047"/>
    <s v="Suresh P"/>
    <x v="5"/>
    <x v="2"/>
    <x v="45"/>
    <x v="7"/>
    <x v="3"/>
    <d v="2017-10-18T00:00:00"/>
    <n v="38"/>
    <n v="860000"/>
    <s v="Active"/>
  </r>
  <r>
    <s v="E048"/>
    <s v="Anitha M"/>
    <x v="1"/>
    <x v="1"/>
    <x v="46"/>
    <x v="0"/>
    <x v="0"/>
    <d v="2022-01-09T00:00:00"/>
    <n v="27"/>
    <n v="380000"/>
    <s v="Active"/>
  </r>
  <r>
    <s v="E076"/>
    <s v="Deepa S"/>
    <x v="0"/>
    <x v="0"/>
    <x v="29"/>
    <x v="5"/>
    <x v="1"/>
    <d v="2018-12-19T00:00:00"/>
    <n v="34"/>
    <n v="630000"/>
    <s v="Active"/>
  </r>
  <r>
    <s v="E050"/>
    <s v="Lakshmi R"/>
    <x v="3"/>
    <x v="4"/>
    <x v="47"/>
    <x v="1"/>
    <x v="4"/>
    <d v="2019-08-13T00:00:00"/>
    <n v="32"/>
    <n v="590000"/>
    <s v="Active"/>
  </r>
  <r>
    <s v="E051"/>
    <s v="Karthik M"/>
    <x v="2"/>
    <x v="0"/>
    <x v="48"/>
    <x v="0"/>
    <x v="2"/>
    <d v="2021-03-20T00:00:00"/>
    <n v="28"/>
    <n v="205000"/>
    <s v="Active"/>
  </r>
  <r>
    <s v="E052"/>
    <s v="Swetha P"/>
    <x v="4"/>
    <x v="2"/>
    <x v="8"/>
    <x v="4"/>
    <x v="4"/>
    <d v="2020-11-06T00:00:00"/>
    <n v="31"/>
    <n v="470000"/>
    <s v="Active"/>
  </r>
  <r>
    <s v="E053"/>
    <s v="Rahul R"/>
    <x v="5"/>
    <x v="1"/>
    <x v="49"/>
    <x v="11"/>
    <x v="3"/>
    <d v="2015-02-16T00:00:00"/>
    <n v="42"/>
    <n v="990000"/>
    <s v="Active"/>
  </r>
  <r>
    <s v="E054"/>
    <s v="Nithya K"/>
    <x v="1"/>
    <x v="3"/>
    <x v="50"/>
    <x v="2"/>
    <x v="2"/>
    <d v="2022-06-25T00:00:00"/>
    <n v="26"/>
    <n v="310000"/>
    <s v="Active"/>
  </r>
  <r>
    <s v="E055"/>
    <s v="Gokul R"/>
    <x v="6"/>
    <x v="4"/>
    <x v="51"/>
    <x v="6"/>
    <x v="0"/>
    <d v="2021-09-08T00:00:00"/>
    <n v="29"/>
    <n v="295000"/>
    <s v="On Leave"/>
  </r>
  <r>
    <s v="E036"/>
    <s v="Deepa P"/>
    <x v="0"/>
    <x v="0"/>
    <x v="52"/>
    <x v="3"/>
    <x v="1"/>
    <d v="2018-01-17T00:00:00"/>
    <n v="35"/>
    <n v="650000"/>
    <s v="Active"/>
  </r>
  <r>
    <s v="E057"/>
    <s v="Manoj P"/>
    <x v="3"/>
    <x v="2"/>
    <x v="53"/>
    <x v="10"/>
    <x v="3"/>
    <d v="2016-01-22T00:00:00"/>
    <n v="40"/>
    <n v="930000"/>
    <s v="Active"/>
  </r>
  <r>
    <s v="E058"/>
    <s v="Harini R"/>
    <x v="2"/>
    <x v="1"/>
    <x v="54"/>
    <x v="9"/>
    <x v="5"/>
    <d v="2023-07-12T00:00:00"/>
    <n v="23"/>
    <n v="140000"/>
    <s v="Active"/>
  </r>
  <r>
    <s v="E059"/>
    <s v="Santhosh K"/>
    <x v="4"/>
    <x v="3"/>
    <x v="28"/>
    <x v="5"/>
    <x v="4"/>
    <d v="2018-09-30T00:00:00"/>
    <n v="35"/>
    <n v="550000"/>
    <s v="Active"/>
  </r>
  <r>
    <s v="E060"/>
    <s v="Keerthi P"/>
    <x v="5"/>
    <x v="0"/>
    <x v="55"/>
    <x v="3"/>
    <x v="1"/>
    <d v="2018-05-14T00:00:00"/>
    <n v="37"/>
    <n v="780000"/>
    <s v="Active"/>
  </r>
  <r>
    <s v="E061"/>
    <s v="Arun S"/>
    <x v="1"/>
    <x v="4"/>
    <x v="4"/>
    <x v="4"/>
    <x v="0"/>
    <d v="2020-10-19T00:00:00"/>
    <n v="31"/>
    <n v="400000"/>
    <s v="Active"/>
  </r>
  <r>
    <s v="E082"/>
    <s v="Priya S"/>
    <x v="0"/>
    <x v="2"/>
    <x v="41"/>
    <x v="3"/>
    <x v="1"/>
    <d v="2017-09-18T00:00:00"/>
    <n v="36"/>
    <n v="720000"/>
    <s v="Active"/>
  </r>
  <r>
    <s v="E063"/>
    <s v="Ravi M"/>
    <x v="3"/>
    <x v="0"/>
    <x v="15"/>
    <x v="6"/>
    <x v="4"/>
    <d v="2021-08-16T00:00:00"/>
    <n v="29"/>
    <n v="530000"/>
    <s v="Active"/>
  </r>
  <r>
    <s v="E064"/>
    <s v="Divya K"/>
    <x v="2"/>
    <x v="3"/>
    <x v="0"/>
    <x v="0"/>
    <x v="2"/>
    <d v="2021-11-24T00:00:00"/>
    <n v="27"/>
    <n v="230000"/>
    <s v="Active"/>
  </r>
  <r>
    <s v="E065"/>
    <s v="Kumar P"/>
    <x v="6"/>
    <x v="1"/>
    <x v="11"/>
    <x v="1"/>
    <x v="4"/>
    <d v="2019-02-05T00:00:00"/>
    <n v="33"/>
    <n v="420000"/>
    <s v="Active"/>
  </r>
  <r>
    <s v="E066"/>
    <s v="Meena S"/>
    <x v="4"/>
    <x v="0"/>
    <x v="56"/>
    <x v="7"/>
    <x v="1"/>
    <d v="2017-06-11T00:00:00"/>
    <n v="37"/>
    <n v="670000"/>
    <s v="Active"/>
  </r>
  <r>
    <s v="E067"/>
    <s v="Suresh K"/>
    <x v="5"/>
    <x v="2"/>
    <x v="57"/>
    <x v="10"/>
    <x v="3"/>
    <d v="2016-08-28T00:00:00"/>
    <n v="41"/>
    <n v="940000"/>
    <s v="Active"/>
  </r>
  <r>
    <s v="E068"/>
    <s v="Anitha P"/>
    <x v="1"/>
    <x v="1"/>
    <x v="43"/>
    <x v="6"/>
    <x v="0"/>
    <d v="2020-12-13T00:00:00"/>
    <n v="30"/>
    <n v="360000"/>
    <s v="Active"/>
  </r>
  <r>
    <s v="E062"/>
    <s v="Priya K"/>
    <x v="0"/>
    <x v="2"/>
    <x v="58"/>
    <x v="3"/>
    <x v="1"/>
    <d v="2017-03-07T00:00:00"/>
    <n v="36"/>
    <n v="680000"/>
    <s v="Active"/>
  </r>
  <r>
    <s v="E070"/>
    <s v="Lakshmi K"/>
    <x v="3"/>
    <x v="4"/>
    <x v="52"/>
    <x v="5"/>
    <x v="1"/>
    <d v="2018-10-09T00:00:00"/>
    <n v="35"/>
    <n v="750000"/>
    <s v="Active"/>
  </r>
  <r>
    <s v="E071"/>
    <s v="Karthik S"/>
    <x v="2"/>
    <x v="0"/>
    <x v="9"/>
    <x v="2"/>
    <x v="2"/>
    <d v="2023-01-17T00:00:00"/>
    <n v="25"/>
    <n v="200000"/>
    <s v="Active"/>
  </r>
  <r>
    <s v="E072"/>
    <s v="Swetha R"/>
    <x v="4"/>
    <x v="2"/>
    <x v="1"/>
    <x v="4"/>
    <x v="4"/>
    <d v="2020-07-03T00:00:00"/>
    <n v="31"/>
    <n v="490000"/>
    <s v="Active"/>
  </r>
  <r>
    <s v="E073"/>
    <s v="Rahul P"/>
    <x v="5"/>
    <x v="1"/>
    <x v="59"/>
    <x v="12"/>
    <x v="3"/>
    <d v="2014-02-15T00:00:00"/>
    <n v="44"/>
    <n v="1000000"/>
    <s v="Active"/>
  </r>
  <r>
    <s v="E074"/>
    <s v="Nithya S"/>
    <x v="1"/>
    <x v="3"/>
    <x v="24"/>
    <x v="1"/>
    <x v="4"/>
    <d v="2019-09-26T00:00:00"/>
    <n v="32"/>
    <n v="430000"/>
    <s v="Active"/>
  </r>
  <r>
    <s v="E075"/>
    <s v="Gokul K"/>
    <x v="6"/>
    <x v="4"/>
    <x v="14"/>
    <x v="0"/>
    <x v="0"/>
    <d v="2022-05-08T00:00:00"/>
    <n v="27"/>
    <n v="260000"/>
    <s v="Active"/>
  </r>
  <r>
    <s v="E049"/>
    <s v="Vijay K"/>
    <x v="0"/>
    <x v="3"/>
    <x v="60"/>
    <x v="5"/>
    <x v="1"/>
    <d v="2019-05-27T00:00:00"/>
    <n v="34"/>
    <n v="700000"/>
    <s v="Active"/>
  </r>
  <r>
    <s v="E077"/>
    <s v="Manoj K"/>
    <x v="3"/>
    <x v="2"/>
    <x v="61"/>
    <x v="7"/>
    <x v="3"/>
    <d v="2017-06-14T00:00:00"/>
    <n v="38"/>
    <n v="870000"/>
    <s v="Active"/>
  </r>
  <r>
    <s v="E078"/>
    <s v="Harini M"/>
    <x v="2"/>
    <x v="1"/>
    <x v="2"/>
    <x v="2"/>
    <x v="2"/>
    <d v="2023-03-25T00:00:00"/>
    <n v="24"/>
    <n v="160000"/>
    <s v="Active"/>
  </r>
  <r>
    <s v="E079"/>
    <s v="Santhosh R"/>
    <x v="4"/>
    <x v="3"/>
    <x v="27"/>
    <x v="4"/>
    <x v="4"/>
    <d v="2020-08-06T00:00:00"/>
    <n v="30"/>
    <n v="410000"/>
    <s v="Active"/>
  </r>
  <r>
    <s v="E080"/>
    <s v="Keerthi K"/>
    <x v="5"/>
    <x v="0"/>
    <x v="62"/>
    <x v="11"/>
    <x v="3"/>
    <d v="2015-11-22T00:00:00"/>
    <n v="42"/>
    <n v="900000"/>
    <s v="Active"/>
  </r>
  <r>
    <s v="E081"/>
    <s v="Arun R"/>
    <x v="1"/>
    <x v="4"/>
    <x v="15"/>
    <x v="4"/>
    <x v="4"/>
    <d v="2020-04-10T00:00:00"/>
    <n v="31"/>
    <n v="450000"/>
    <s v="Active"/>
  </r>
  <r>
    <s v="E096"/>
    <s v="Deepa K"/>
    <x v="0"/>
    <x v="0"/>
    <x v="5"/>
    <x v="3"/>
    <x v="1"/>
    <d v="2018-05-22T00:00:00"/>
    <n v="36"/>
    <n v="760000"/>
    <s v="Active"/>
  </r>
  <r>
    <s v="E083"/>
    <s v="Ravi R"/>
    <x v="3"/>
    <x v="0"/>
    <x v="38"/>
    <x v="1"/>
    <x v="4"/>
    <d v="2019-01-27T00:00:00"/>
    <n v="33"/>
    <n v="610000"/>
    <s v="Active"/>
  </r>
  <r>
    <s v="E084"/>
    <s v="Divya M"/>
    <x v="2"/>
    <x v="3"/>
    <x v="6"/>
    <x v="0"/>
    <x v="0"/>
    <d v="2021-06-13T00:00:00"/>
    <n v="28"/>
    <n v="215000"/>
    <s v="Active"/>
  </r>
  <r>
    <s v="E085"/>
    <s v="Kumar K"/>
    <x v="6"/>
    <x v="1"/>
    <x v="31"/>
    <x v="6"/>
    <x v="0"/>
    <d v="2020-12-02T00:00:00"/>
    <n v="29"/>
    <n v="340000"/>
    <s v="Active"/>
  </r>
  <r>
    <s v="E086"/>
    <s v="Meena K"/>
    <x v="4"/>
    <x v="0"/>
    <x v="63"/>
    <x v="7"/>
    <x v="1"/>
    <d v="2017-05-16T00:00:00"/>
    <n v="37"/>
    <n v="700000"/>
    <s v="Active"/>
  </r>
  <r>
    <s v="E087"/>
    <s v="Suresh S"/>
    <x v="5"/>
    <x v="2"/>
    <x v="64"/>
    <x v="8"/>
    <x v="3"/>
    <d v="2015-08-29T00:00:00"/>
    <n v="42"/>
    <n v="960000"/>
    <s v="Active"/>
  </r>
  <r>
    <s v="E088"/>
    <s v="Anitha R"/>
    <x v="1"/>
    <x v="1"/>
    <x v="51"/>
    <x v="0"/>
    <x v="0"/>
    <d v="2022-02-07T00:00:00"/>
    <n v="27"/>
    <n v="320000"/>
    <s v="Active"/>
  </r>
  <r>
    <s v="E069"/>
    <s v="Vijay S"/>
    <x v="0"/>
    <x v="3"/>
    <x v="65"/>
    <x v="7"/>
    <x v="3"/>
    <d v="2016-04-21T00:00:00"/>
    <n v="39"/>
    <n v="810000"/>
    <s v="Active"/>
  </r>
  <r>
    <s v="E090"/>
    <s v="Lakshmi P"/>
    <x v="3"/>
    <x v="4"/>
    <x v="44"/>
    <x v="5"/>
    <x v="1"/>
    <d v="2018-10-11T00:00:00"/>
    <n v="35"/>
    <n v="710000"/>
    <s v="Active"/>
  </r>
  <r>
    <s v="E091"/>
    <s v="Karthik R"/>
    <x v="2"/>
    <x v="0"/>
    <x v="34"/>
    <x v="6"/>
    <x v="2"/>
    <d v="2021-04-24T00:00:00"/>
    <n v="29"/>
    <n v="250000"/>
    <s v="Active"/>
  </r>
  <r>
    <s v="E092"/>
    <s v="Swetha S"/>
    <x v="4"/>
    <x v="2"/>
    <x v="18"/>
    <x v="1"/>
    <x v="4"/>
    <d v="2020-01-08T00:00:00"/>
    <n v="32"/>
    <n v="500000"/>
    <s v="Active"/>
  </r>
  <r>
    <s v="E093"/>
    <s v="Rahul M"/>
    <x v="5"/>
    <x v="1"/>
    <x v="66"/>
    <x v="10"/>
    <x v="3"/>
    <d v="2016-07-17T00:00:00"/>
    <n v="41"/>
    <n v="920000"/>
    <s v="Active"/>
  </r>
  <r>
    <s v="E094"/>
    <s v="Nithya P"/>
    <x v="1"/>
    <x v="3"/>
    <x v="8"/>
    <x v="4"/>
    <x v="4"/>
    <d v="2020-11-03T00:00:00"/>
    <n v="30"/>
    <n v="460000"/>
    <s v="Active"/>
  </r>
  <r>
    <s v="E095"/>
    <s v="Gokul M"/>
    <x v="6"/>
    <x v="4"/>
    <x v="7"/>
    <x v="0"/>
    <x v="0"/>
    <d v="2022-02-15T00:00:00"/>
    <n v="27"/>
    <n v="280000"/>
    <s v="Active"/>
  </r>
  <r>
    <s v="E089"/>
    <s v="Vijay M"/>
    <x v="0"/>
    <x v="3"/>
    <x v="12"/>
    <x v="10"/>
    <x v="3"/>
    <d v="2016-06-20T00:00:00"/>
    <n v="40"/>
    <n v="850000"/>
    <s v="Active"/>
  </r>
  <r>
    <s v="E097"/>
    <s v="Manoj S"/>
    <x v="3"/>
    <x v="2"/>
    <x v="67"/>
    <x v="11"/>
    <x v="3"/>
    <d v="2015-09-09T00:00:00"/>
    <n v="41"/>
    <n v="950000"/>
    <s v="Active"/>
  </r>
  <r>
    <s v="E098"/>
    <s v="Harini P"/>
    <x v="2"/>
    <x v="1"/>
    <x v="30"/>
    <x v="2"/>
    <x v="2"/>
    <d v="2023-03-18T00:00:00"/>
    <n v="24"/>
    <n v="170000"/>
    <s v="Active"/>
  </r>
  <r>
    <s v="E099"/>
    <s v="Santhosh S"/>
    <x v="4"/>
    <x v="3"/>
    <x v="22"/>
    <x v="5"/>
    <x v="4"/>
    <d v="2019-07-27T00:00:00"/>
    <n v="34"/>
    <n v="560000"/>
    <s v="Active"/>
  </r>
  <r>
    <s v="E100"/>
    <s v="Keerthi M"/>
    <x v="5"/>
    <x v="0"/>
    <x v="68"/>
    <x v="8"/>
    <x v="3"/>
    <d v="2014-12-05T00:00:00"/>
    <n v="43"/>
    <n v="980000"/>
    <s v="Active"/>
  </r>
  <r>
    <s v="E008"/>
    <s v="Anitha S"/>
    <x v="0"/>
    <x v="1"/>
    <x v="69"/>
    <x v="10"/>
    <x v="3"/>
    <d v="2016-04-08T00:00:00"/>
    <n v="39"/>
    <n v="920000"/>
    <s v="Activ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70B5CC-CE79-4B9D-B9DC-E7115A342DB5}" name="PivotTable11" cacheId="13" applyNumberFormats="0" applyBorderFormats="0" applyFontFormats="0" applyPatternFormats="0" applyAlignmentFormats="0" applyWidthHeightFormats="1" dataCaption="Values" missingCaption="0" updatedVersion="8" minRefreshableVersion="3" useAutoFormatting="1" itemPrintTitles="1" createdVersion="8" indent="0" compact="0" compactData="0" multipleFieldFilters="0" chartFormat="1" colHeaderCaption="Performance Rating">
  <location ref="A64:H73" firstHeaderRow="1" firstDataRow="2" firstDataCol="1"/>
  <pivotFields count="11">
    <pivotField compact="0" outline="0" showAll="0"/>
    <pivotField compact="0" outline="0" showAll="0"/>
    <pivotField axis="axisRow" compact="0" outline="0" showAll="0">
      <items count="8">
        <item x="5"/>
        <item x="1"/>
        <item x="2"/>
        <item x="0"/>
        <item x="4"/>
        <item x="6"/>
        <item x="3"/>
        <item t="default"/>
      </items>
    </pivotField>
    <pivotField compact="0" outline="0" showAll="0">
      <items count="6">
        <item x="1"/>
        <item x="0"/>
        <item x="2"/>
        <item x="4"/>
        <item x="3"/>
        <item t="default"/>
      </items>
    </pivotField>
    <pivotField dataField="1" compact="0" outline="0" showAll="0"/>
    <pivotField compact="0" outline="0" showAll="0"/>
    <pivotField axis="axisCol" compact="0" outline="0" showAll="0">
      <items count="7">
        <item x="5"/>
        <item x="2"/>
        <item x="0"/>
        <item x="4"/>
        <item x="1"/>
        <item x="3"/>
        <item t="default"/>
      </items>
    </pivotField>
    <pivotField compact="0" numFmtId="14" outline="0" showAll="0"/>
    <pivotField compact="0" outline="0" showAll="0"/>
    <pivotField compact="0" outline="0" showAll="0"/>
    <pivotField compact="0" outline="0" showAll="0"/>
  </pivotFields>
  <rowFields count="1">
    <field x="2"/>
  </rowFields>
  <rowItems count="8">
    <i>
      <x/>
    </i>
    <i>
      <x v="1"/>
    </i>
    <i>
      <x v="2"/>
    </i>
    <i>
      <x v="3"/>
    </i>
    <i>
      <x v="4"/>
    </i>
    <i>
      <x v="5"/>
    </i>
    <i>
      <x v="6"/>
    </i>
    <i t="grand">
      <x/>
    </i>
  </rowItems>
  <colFields count="1">
    <field x="6"/>
  </colFields>
  <colItems count="7">
    <i>
      <x/>
    </i>
    <i>
      <x v="1"/>
    </i>
    <i>
      <x v="2"/>
    </i>
    <i>
      <x v="3"/>
    </i>
    <i>
      <x v="4"/>
    </i>
    <i>
      <x v="5"/>
    </i>
    <i t="grand">
      <x/>
    </i>
  </colItems>
  <dataFields count="1">
    <dataField name="Average Salary" fld="4" subtotal="average" baseField="2" baseItem="0" numFmtId="165"/>
  </dataFields>
  <formats count="26">
    <format dxfId="0">
      <pivotArea type="origin" dataOnly="0" labelOnly="1" outline="0" fieldPosition="0"/>
    </format>
    <format dxfId="1">
      <pivotArea field="6" type="button" dataOnly="0" labelOnly="1" outline="0" axis="axisCol" fieldPosition="0"/>
    </format>
    <format dxfId="2">
      <pivotArea type="topRight" dataOnly="0" labelOnly="1" outline="0" fieldPosition="0"/>
    </format>
    <format dxfId="3">
      <pivotArea field="2" type="button" dataOnly="0" labelOnly="1" outline="0" axis="axisRow" fieldPosition="0"/>
    </format>
    <format dxfId="4">
      <pivotArea dataOnly="0" labelOnly="1" outline="0" fieldPosition="0">
        <references count="1">
          <reference field="6" count="0"/>
        </references>
      </pivotArea>
    </format>
    <format dxfId="5">
      <pivotArea dataOnly="0" labelOnly="1" grandCol="1" outline="0" fieldPosition="0"/>
    </format>
    <format dxfId="6">
      <pivotArea type="all" dataOnly="0" outline="0" fieldPosition="0"/>
    </format>
    <format dxfId="7">
      <pivotArea outline="0" collapsedLevelsAreSubtotals="1" fieldPosition="0"/>
    </format>
    <format dxfId="8">
      <pivotArea type="origin" dataOnly="0" labelOnly="1" outline="0" fieldPosition="0"/>
    </format>
    <format dxfId="9">
      <pivotArea field="6" type="button" dataOnly="0" labelOnly="1" outline="0" axis="axisCol" fieldPosition="0"/>
    </format>
    <format dxfId="10">
      <pivotArea type="topRight" dataOnly="0" labelOnly="1" outline="0" fieldPosition="0"/>
    </format>
    <format dxfId="11">
      <pivotArea field="2" type="button" dataOnly="0" labelOnly="1" outline="0" axis="axisRow" fieldPosition="0"/>
    </format>
    <format dxfId="12">
      <pivotArea dataOnly="0" labelOnly="1" outline="0" fieldPosition="0">
        <references count="1">
          <reference field="2" count="0"/>
        </references>
      </pivotArea>
    </format>
    <format dxfId="13">
      <pivotArea dataOnly="0" labelOnly="1" grandRow="1" outline="0" fieldPosition="0"/>
    </format>
    <format dxfId="14">
      <pivotArea dataOnly="0" labelOnly="1" outline="0" fieldPosition="0">
        <references count="1">
          <reference field="6" count="0"/>
        </references>
      </pivotArea>
    </format>
    <format dxfId="15">
      <pivotArea dataOnly="0" labelOnly="1" grandCol="1" outline="0" fieldPosition="0"/>
    </format>
    <format dxfId="16">
      <pivotArea type="all" dataOnly="0" outline="0" fieldPosition="0"/>
    </format>
    <format dxfId="17">
      <pivotArea outline="0" collapsedLevelsAreSubtotals="1" fieldPosition="0"/>
    </format>
    <format dxfId="18">
      <pivotArea type="origin" dataOnly="0" labelOnly="1" outline="0" fieldPosition="0"/>
    </format>
    <format dxfId="19">
      <pivotArea field="6" type="button" dataOnly="0" labelOnly="1" outline="0" axis="axisCol" fieldPosition="0"/>
    </format>
    <format dxfId="20">
      <pivotArea type="topRight" dataOnly="0" labelOnly="1" outline="0" fieldPosition="0"/>
    </format>
    <format dxfId="21">
      <pivotArea field="2" type="button" dataOnly="0" labelOnly="1" outline="0" axis="axisRow" fieldPosition="0"/>
    </format>
    <format dxfId="22">
      <pivotArea dataOnly="0" labelOnly="1" outline="0" fieldPosition="0">
        <references count="1">
          <reference field="2" count="0"/>
        </references>
      </pivotArea>
    </format>
    <format dxfId="23">
      <pivotArea dataOnly="0" labelOnly="1" grandRow="1" outline="0" fieldPosition="0"/>
    </format>
    <format dxfId="24">
      <pivotArea dataOnly="0" labelOnly="1" outline="0" fieldPosition="0">
        <references count="1">
          <reference field="6" count="0"/>
        </references>
      </pivotArea>
    </format>
    <format dxfId="25">
      <pivotArea dataOnly="0" labelOnly="1" grandCol="1" outline="0" fieldPosition="0"/>
    </format>
  </formats>
  <chartFormats count="7">
    <chartFormat chart="0" format="8" series="1">
      <pivotArea type="data" outline="0" fieldPosition="0">
        <references count="1">
          <reference field="6" count="1" selected="0">
            <x v="1"/>
          </reference>
        </references>
      </pivotArea>
    </chartFormat>
    <chartFormat chart="0" format="9" series="1">
      <pivotArea type="data" outline="0" fieldPosition="0">
        <references count="1">
          <reference field="6" count="1" selected="0">
            <x v="2"/>
          </reference>
        </references>
      </pivotArea>
    </chartFormat>
    <chartFormat chart="0" format="10" series="1">
      <pivotArea type="data" outline="0" fieldPosition="0">
        <references count="1">
          <reference field="6" count="1" selected="0">
            <x v="3"/>
          </reference>
        </references>
      </pivotArea>
    </chartFormat>
    <chartFormat chart="0" format="11" series="1">
      <pivotArea type="data" outline="0" fieldPosition="0">
        <references count="1">
          <reference field="6" count="1" selected="0">
            <x v="4"/>
          </reference>
        </references>
      </pivotArea>
    </chartFormat>
    <chartFormat chart="0" format="12" series="1">
      <pivotArea type="data" outline="0" fieldPosition="0">
        <references count="1">
          <reference field="6" count="1" selected="0">
            <x v="5"/>
          </reference>
        </references>
      </pivotArea>
    </chartFormat>
    <chartFormat chart="0" format="13" series="1">
      <pivotArea type="data" outline="0" fieldPosition="0">
        <references count="1">
          <reference field="6" count="1" selected="0">
            <x v="0"/>
          </reference>
        </references>
      </pivotArea>
    </chartFormat>
    <chartFormat chart="0" format="14" series="1">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03033D-6F4C-4256-8631-8DDD63E7DAB6}" name="PivotTable10" cacheId="1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77:D82" firstHeaderRow="0" firstDataRow="1" firstDataCol="1"/>
  <pivotFields count="11">
    <pivotField dataField="1" compact="0" outline="0" showAll="0"/>
    <pivotField compact="0" outline="0" showAll="0"/>
    <pivotField compact="0" outline="0" showAll="0">
      <items count="8">
        <item x="5"/>
        <item x="1"/>
        <item x="2"/>
        <item x="0"/>
        <item x="4"/>
        <item x="6"/>
        <item x="3"/>
        <item t="default"/>
      </items>
    </pivotField>
    <pivotField compact="0" outline="0" showAll="0">
      <items count="6">
        <item x="1"/>
        <item x="0"/>
        <item x="2"/>
        <item x="4"/>
        <item x="3"/>
        <item t="default"/>
      </items>
    </pivotField>
    <pivotField dataField="1" compact="0" outline="0" showAll="0"/>
    <pivotField axis="axisRow" compact="0" outline="0" showAll="0">
      <items count="7">
        <item x="0"/>
        <item x="1"/>
        <item x="2"/>
        <item x="3"/>
        <item x="4"/>
        <item x="5"/>
        <item t="default"/>
      </items>
    </pivotField>
    <pivotField dataField="1" compact="0" outline="0" showAll="0">
      <items count="7">
        <item x="5"/>
        <item x="2"/>
        <item x="0"/>
        <item x="4"/>
        <item x="1"/>
        <item x="3"/>
        <item t="default"/>
      </items>
    </pivotField>
    <pivotField compact="0" numFmtId="14" outline="0" showAll="0"/>
    <pivotField compact="0" outline="0" showAll="0"/>
    <pivotField compact="0" outline="0" showAll="0"/>
    <pivotField compact="0" outline="0" showAll="0"/>
  </pivotFields>
  <rowFields count="1">
    <field x="5"/>
  </rowFields>
  <rowItems count="5">
    <i>
      <x v="1"/>
    </i>
    <i>
      <x v="2"/>
    </i>
    <i>
      <x v="3"/>
    </i>
    <i>
      <x v="4"/>
    </i>
    <i t="grand">
      <x/>
    </i>
  </rowItems>
  <colFields count="1">
    <field x="-2"/>
  </colFields>
  <colItems count="3">
    <i>
      <x/>
    </i>
    <i i="1">
      <x v="1"/>
    </i>
    <i i="2">
      <x v="2"/>
    </i>
  </colItems>
  <dataFields count="3">
    <dataField name="Employee Count" fld="0" subtotal="count" baseField="0" baseItem="0"/>
    <dataField name="Average Salary" fld="4" subtotal="average" baseField="5" baseItem="1" numFmtId="165"/>
    <dataField name="Average Performance Rating" fld="6" subtotal="average" baseField="5" baseItem="1" numFmtId="164"/>
  </dataFields>
  <formats count="4">
    <format dxfId="26">
      <pivotArea field="5" type="button" dataOnly="0" labelOnly="1" outline="0" axis="axisRow" fieldPosition="0"/>
    </format>
    <format dxfId="27">
      <pivotArea dataOnly="0" labelOnly="1" outline="0" fieldPosition="0">
        <references count="1">
          <reference field="4294967294" count="3">
            <x v="0"/>
            <x v="1"/>
            <x v="2"/>
          </reference>
        </references>
      </pivotArea>
    </format>
    <format dxfId="28">
      <pivotArea field="5" type="button" dataOnly="0" labelOnly="1" outline="0" axis="axisRow" fieldPosition="0"/>
    </format>
    <format dxfId="29">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27C463-1C18-4CD2-AB55-DA6E91BB8F6E}" name="PivotTable9" cacheId="1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rowHeaderCaption="Department">
  <location ref="A2:D10" firstHeaderRow="0" firstDataRow="1" firstDataCol="1"/>
  <pivotFields count="11">
    <pivotField compact="0" outline="0" showAll="0"/>
    <pivotField compact="0" outline="0" showAll="0"/>
    <pivotField axis="axisRow" compact="0" outline="0" showAll="0">
      <items count="8">
        <item x="5"/>
        <item x="1"/>
        <item x="2"/>
        <item x="0"/>
        <item x="4"/>
        <item x="6"/>
        <item x="3"/>
        <item t="default"/>
      </items>
    </pivotField>
    <pivotField compact="0" outline="0" showAll="0">
      <items count="6">
        <item x="1"/>
        <item x="0"/>
        <item x="2"/>
        <item x="4"/>
        <item x="3"/>
        <item t="default"/>
      </items>
    </pivotField>
    <pivotField dataField="1" compact="0" outline="0" showAll="0"/>
    <pivotField compact="0" outline="0" showAll="0"/>
    <pivotField compact="0" outline="0" showAll="0">
      <items count="7">
        <item x="5"/>
        <item x="2"/>
        <item x="0"/>
        <item x="4"/>
        <item x="1"/>
        <item x="3"/>
        <item t="default"/>
      </items>
    </pivotField>
    <pivotField compact="0" numFmtId="14" outline="0" showAll="0"/>
    <pivotField compact="0" outline="0" showAll="0"/>
    <pivotField compact="0" outline="0" showAll="0"/>
    <pivotField compact="0" outline="0" showAll="0"/>
  </pivotFields>
  <rowFields count="1">
    <field x="2"/>
  </rowFields>
  <rowItems count="8">
    <i>
      <x/>
    </i>
    <i>
      <x v="1"/>
    </i>
    <i>
      <x v="2"/>
    </i>
    <i>
      <x v="3"/>
    </i>
    <i>
      <x v="4"/>
    </i>
    <i>
      <x v="5"/>
    </i>
    <i>
      <x v="6"/>
    </i>
    <i t="grand">
      <x/>
    </i>
  </rowItems>
  <colFields count="1">
    <field x="-2"/>
  </colFields>
  <colItems count="3">
    <i>
      <x/>
    </i>
    <i i="1">
      <x v="1"/>
    </i>
    <i i="2">
      <x v="2"/>
    </i>
  </colItems>
  <dataFields count="3">
    <dataField name="Total salary" fld="4" baseField="2" baseItem="0" numFmtId="165"/>
    <dataField name="Average Salary" fld="4" subtotal="average" baseField="2" baseItem="0" numFmtId="165"/>
    <dataField name="Maximum Salary" fld="4" subtotal="max" baseField="2" baseItem="0" numFmtId="165"/>
  </dataFields>
  <formats count="17">
    <format dxfId="30">
      <pivotArea field="2" type="button" dataOnly="0" labelOnly="1" outline="0" axis="axisRow" fieldPosition="0"/>
    </format>
    <format dxfId="31">
      <pivotArea dataOnly="0" labelOnly="1" outline="0" fieldPosition="0">
        <references count="1">
          <reference field="4294967294" count="3">
            <x v="0"/>
            <x v="1"/>
            <x v="2"/>
          </reference>
        </references>
      </pivotArea>
    </format>
    <format dxfId="32">
      <pivotArea field="2" type="button" dataOnly="0" labelOnly="1" outline="0" axis="axisRow" fieldPosition="0"/>
    </format>
    <format dxfId="33">
      <pivotArea dataOnly="0" labelOnly="1" outline="0" fieldPosition="0">
        <references count="1">
          <reference field="4294967294" count="3">
            <x v="0"/>
            <x v="1"/>
            <x v="2"/>
          </reference>
        </references>
      </pivotArea>
    </format>
    <format dxfId="34">
      <pivotArea field="2" type="button" dataOnly="0" labelOnly="1" outline="0" axis="axisRow" fieldPosition="0"/>
    </format>
    <format dxfId="35">
      <pivotArea dataOnly="0" labelOnly="1" outline="0" fieldPosition="0">
        <references count="1">
          <reference field="4294967294" count="3">
            <x v="0"/>
            <x v="1"/>
            <x v="2"/>
          </reference>
        </references>
      </pivotArea>
    </format>
    <format dxfId="36">
      <pivotArea field="2" type="button" dataOnly="0" labelOnly="1" outline="0" axis="axisRow" fieldPosition="0"/>
    </format>
    <format dxfId="37">
      <pivotArea dataOnly="0" labelOnly="1" outline="0" fieldPosition="0">
        <references count="1">
          <reference field="4294967294" count="3">
            <x v="0"/>
            <x v="1"/>
            <x v="2"/>
          </reference>
        </references>
      </pivotArea>
    </format>
    <format dxfId="38">
      <pivotArea outline="0" fieldPosition="0">
        <references count="1">
          <reference field="4294967294" count="1">
            <x v="0"/>
          </reference>
        </references>
      </pivotArea>
    </format>
    <format dxfId="39">
      <pivotArea outline="0" fieldPosition="0">
        <references count="1">
          <reference field="4294967294" count="1">
            <x v="1"/>
          </reference>
        </references>
      </pivotArea>
    </format>
    <format dxfId="40">
      <pivotArea outline="0" fieldPosition="0">
        <references count="1">
          <reference field="4294967294" count="1">
            <x v="2"/>
          </reference>
        </references>
      </pivotArea>
    </format>
    <format dxfId="41">
      <pivotArea outline="0" collapsedLevelsAreSubtotals="1" fieldPosition="0"/>
    </format>
    <format dxfId="42">
      <pivotArea dataOnly="0" labelOnly="1" outline="0" fieldPosition="0">
        <references count="1">
          <reference field="2" count="0"/>
        </references>
      </pivotArea>
    </format>
    <format dxfId="43">
      <pivotArea dataOnly="0" labelOnly="1" grandRow="1" outline="0" fieldPosition="0"/>
    </format>
    <format dxfId="44">
      <pivotArea outline="0" collapsedLevelsAreSubtotals="1" fieldPosition="0"/>
    </format>
    <format dxfId="45">
      <pivotArea dataOnly="0" labelOnly="1" outline="0" fieldPosition="0">
        <references count="1">
          <reference field="2" count="0"/>
        </references>
      </pivotArea>
    </format>
    <format dxfId="46">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FC8625-F554-486D-9C86-B6A29E2A0186}" name="PivotTable8" cacheId="13" applyNumberFormats="0" applyBorderFormats="0" applyFontFormats="0" applyPatternFormats="0" applyAlignmentFormats="0" applyWidthHeightFormats="1" dataCaption="Values" missingCaption="0" updatedVersion="8" minRefreshableVersion="3" useAutoFormatting="1" itemPrintTitles="1" createdVersion="8" indent="0" compact="0" compactData="0" multipleFieldFilters="0" chartFormat="1">
  <location ref="A86:F95" firstHeaderRow="1" firstDataRow="2" firstDataCol="1"/>
  <pivotFields count="11">
    <pivotField compact="0" outline="0" showAll="0"/>
    <pivotField compact="0" outline="0" showAll="0"/>
    <pivotField axis="axisRow" compact="0" outline="0" showAll="0">
      <items count="8">
        <item x="5"/>
        <item x="1"/>
        <item x="2"/>
        <item x="0"/>
        <item x="4"/>
        <item x="6"/>
        <item x="3"/>
        <item t="default"/>
      </items>
    </pivotField>
    <pivotField compact="0" outline="0" showAll="0">
      <items count="6">
        <item x="1"/>
        <item x="0"/>
        <item x="2"/>
        <item x="4"/>
        <item x="3"/>
        <item t="default"/>
      </items>
    </pivotField>
    <pivotField compact="0" outline="0" showAll="0"/>
    <pivotField name="Experience group" axis="axisCol" dataField="1" compact="0" outline="0" showAll="0">
      <items count="7">
        <item x="0"/>
        <item x="1"/>
        <item x="2"/>
        <item x="3"/>
        <item x="4"/>
        <item x="5"/>
        <item t="default"/>
      </items>
    </pivotField>
    <pivotField compact="0" outline="0" showAll="0">
      <items count="7">
        <item x="5"/>
        <item x="2"/>
        <item x="0"/>
        <item x="4"/>
        <item x="1"/>
        <item x="3"/>
        <item t="default"/>
      </items>
    </pivotField>
    <pivotField compact="0" numFmtId="14" outline="0" showAll="0"/>
    <pivotField compact="0" outline="0" showAll="0"/>
    <pivotField compact="0" outline="0" showAll="0"/>
    <pivotField compact="0" outline="0" showAll="0"/>
  </pivotFields>
  <rowFields count="1">
    <field x="2"/>
  </rowFields>
  <rowItems count="8">
    <i>
      <x/>
    </i>
    <i>
      <x v="1"/>
    </i>
    <i>
      <x v="2"/>
    </i>
    <i>
      <x v="3"/>
    </i>
    <i>
      <x v="4"/>
    </i>
    <i>
      <x v="5"/>
    </i>
    <i>
      <x v="6"/>
    </i>
    <i t="grand">
      <x/>
    </i>
  </rowItems>
  <colFields count="1">
    <field x="5"/>
  </colFields>
  <colItems count="5">
    <i>
      <x v="1"/>
    </i>
    <i>
      <x v="2"/>
    </i>
    <i>
      <x v="3"/>
    </i>
    <i>
      <x v="4"/>
    </i>
    <i t="grand">
      <x/>
    </i>
  </colItems>
  <dataFields count="1">
    <dataField name="Experience count" fld="5" subtotal="count" baseField="0" baseItem="0"/>
  </dataFields>
  <formats count="27">
    <format dxfId="47">
      <pivotArea type="all" dataOnly="0" outline="0" fieldPosition="0"/>
    </format>
    <format dxfId="48">
      <pivotArea outline="0" collapsedLevelsAreSubtotals="1" fieldPosition="0"/>
    </format>
    <format dxfId="49">
      <pivotArea type="origin" dataOnly="0" labelOnly="1" outline="0" fieldPosition="0"/>
    </format>
    <format dxfId="50">
      <pivotArea field="5" type="button" dataOnly="0" labelOnly="1" outline="0" axis="axisCol" fieldPosition="0"/>
    </format>
    <format dxfId="51">
      <pivotArea type="topRight" dataOnly="0" labelOnly="1" outline="0" fieldPosition="0"/>
    </format>
    <format dxfId="52">
      <pivotArea field="2" type="button" dataOnly="0" labelOnly="1" outline="0" axis="axisRow" fieldPosition="0"/>
    </format>
    <format dxfId="53">
      <pivotArea dataOnly="0" labelOnly="1" outline="0" fieldPosition="0">
        <references count="1">
          <reference field="2" count="0"/>
        </references>
      </pivotArea>
    </format>
    <format dxfId="54">
      <pivotArea dataOnly="0" labelOnly="1" grandRow="1" outline="0" fieldPosition="0"/>
    </format>
    <format dxfId="55">
      <pivotArea dataOnly="0" labelOnly="1" outline="0" fieldPosition="0">
        <references count="1">
          <reference field="5" count="4">
            <x v="1"/>
            <x v="2"/>
            <x v="3"/>
            <x v="4"/>
          </reference>
        </references>
      </pivotArea>
    </format>
    <format dxfId="56">
      <pivotArea dataOnly="0" labelOnly="1" grandCol="1" outline="0" fieldPosition="0"/>
    </format>
    <format dxfId="57">
      <pivotArea type="all" dataOnly="0" outline="0" fieldPosition="0"/>
    </format>
    <format dxfId="58">
      <pivotArea outline="0" collapsedLevelsAreSubtotals="1" fieldPosition="0"/>
    </format>
    <format dxfId="59">
      <pivotArea type="origin" dataOnly="0" labelOnly="1" outline="0" fieldPosition="0"/>
    </format>
    <format dxfId="60">
      <pivotArea field="5" type="button" dataOnly="0" labelOnly="1" outline="0" axis="axisCol" fieldPosition="0"/>
    </format>
    <format dxfId="61">
      <pivotArea type="topRight" dataOnly="0" labelOnly="1" outline="0" fieldPosition="0"/>
    </format>
    <format dxfId="62">
      <pivotArea field="2" type="button" dataOnly="0" labelOnly="1" outline="0" axis="axisRow" fieldPosition="0"/>
    </format>
    <format dxfId="63">
      <pivotArea dataOnly="0" labelOnly="1" outline="0" fieldPosition="0">
        <references count="1">
          <reference field="2" count="0"/>
        </references>
      </pivotArea>
    </format>
    <format dxfId="64">
      <pivotArea dataOnly="0" labelOnly="1" grandRow="1" outline="0" fieldPosition="0"/>
    </format>
    <format dxfId="65">
      <pivotArea dataOnly="0" labelOnly="1" outline="0" fieldPosition="0">
        <references count="1">
          <reference field="5" count="4">
            <x v="1"/>
            <x v="2"/>
            <x v="3"/>
            <x v="4"/>
          </reference>
        </references>
      </pivotArea>
    </format>
    <format dxfId="66">
      <pivotArea dataOnly="0" labelOnly="1" grandCol="1" outline="0" fieldPosition="0"/>
    </format>
    <format dxfId="67">
      <pivotArea type="origin" dataOnly="0" labelOnly="1" outline="0" fieldPosition="0"/>
    </format>
    <format dxfId="68">
      <pivotArea field="5" type="button" dataOnly="0" labelOnly="1" outline="0" axis="axisCol" fieldPosition="0"/>
    </format>
    <format dxfId="69">
      <pivotArea type="topRight" dataOnly="0" labelOnly="1" outline="0" fieldPosition="0"/>
    </format>
    <format dxfId="70">
      <pivotArea field="2" type="button" dataOnly="0" labelOnly="1" outline="0" axis="axisRow" fieldPosition="0"/>
    </format>
    <format dxfId="71">
      <pivotArea dataOnly="0" labelOnly="1" outline="0" fieldPosition="0">
        <references count="1">
          <reference field="5" count="4">
            <x v="1"/>
            <x v="2"/>
            <x v="3"/>
            <x v="4"/>
          </reference>
        </references>
      </pivotArea>
    </format>
    <format dxfId="72">
      <pivotArea dataOnly="0" labelOnly="1" grandCol="1" outline="0" fieldPosition="0"/>
    </format>
    <format dxfId="73">
      <pivotArea field="5" type="button" dataOnly="0" labelOnly="1" outline="0" axis="axisCol"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F97DD3A-5163-44B6-AFD0-A9EA7F95B76E}" name="PivotTable7" cacheId="1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rowHeaderCaption="Department">
  <location ref="A14:D22" firstHeaderRow="0" firstDataRow="1" firstDataCol="1"/>
  <pivotFields count="11">
    <pivotField dataField="1" compact="0" outline="0" showAll="0" insertBlankRow="1"/>
    <pivotField compact="0" outline="0" showAll="0" insertBlankRow="1"/>
    <pivotField axis="axisRow" compact="0" outline="0" showAll="0" insertBlankRow="1">
      <items count="8">
        <item x="5"/>
        <item x="1"/>
        <item x="2"/>
        <item x="0"/>
        <item x="4"/>
        <item x="6"/>
        <item x="3"/>
        <item t="default"/>
      </items>
    </pivotField>
    <pivotField compact="0" outline="0" showAll="0" insertBlankRow="1">
      <items count="6">
        <item x="1"/>
        <item x="0"/>
        <item x="2"/>
        <item x="4"/>
        <item x="3"/>
        <item t="default"/>
      </items>
    </pivotField>
    <pivotField compact="0" outline="0" showAll="0" insertBlankRow="1"/>
    <pivotField dataField="1" compact="0" outline="0" showAll="0" insertBlankRow="1"/>
    <pivotField compact="0" outline="0" showAll="0" insertBlankRow="1">
      <items count="7">
        <item x="5"/>
        <item x="2"/>
        <item x="0"/>
        <item x="4"/>
        <item x="1"/>
        <item x="3"/>
        <item t="default"/>
      </items>
    </pivotField>
    <pivotField compact="0" numFmtId="14" outline="0" showAll="0" insertBlankRow="1"/>
    <pivotField compact="0" outline="0" showAll="0" insertBlankRow="1"/>
    <pivotField compact="0" outline="0" showAll="0" insertBlankRow="1"/>
    <pivotField compact="0" outline="0" showAll="0" insertBlankRow="1"/>
  </pivotFields>
  <rowFields count="1">
    <field x="2"/>
  </rowFields>
  <rowItems count="8">
    <i>
      <x/>
    </i>
    <i>
      <x v="1"/>
    </i>
    <i>
      <x v="2"/>
    </i>
    <i>
      <x v="3"/>
    </i>
    <i>
      <x v="4"/>
    </i>
    <i>
      <x v="5"/>
    </i>
    <i>
      <x v="6"/>
    </i>
    <i t="grand">
      <x/>
    </i>
  </rowItems>
  <colFields count="1">
    <field x="-2"/>
  </colFields>
  <colItems count="3">
    <i>
      <x/>
    </i>
    <i i="1">
      <x v="1"/>
    </i>
    <i i="2">
      <x v="2"/>
    </i>
  </colItems>
  <dataFields count="3">
    <dataField name="Employee count" fld="0" subtotal="count" baseField="2" baseItem="0" numFmtId="1"/>
    <dataField name="Average Experience" fld="5" subtotal="average" baseField="2" baseItem="0" numFmtId="1"/>
    <dataField name="Maximum Experience" fld="5" subtotal="max" baseField="2" baseItem="0" numFmtId="1"/>
  </dataFields>
  <formats count="14">
    <format dxfId="74">
      <pivotArea field="2" type="button" dataOnly="0" labelOnly="1" outline="0" axis="axisRow" fieldPosition="0"/>
    </format>
    <format dxfId="75">
      <pivotArea dataOnly="0" labelOnly="1" outline="0" fieldPosition="0">
        <references count="1">
          <reference field="4294967294" count="3">
            <x v="0"/>
            <x v="1"/>
            <x v="2"/>
          </reference>
        </references>
      </pivotArea>
    </format>
    <format dxfId="76">
      <pivotArea field="2" type="button" dataOnly="0" labelOnly="1" outline="0" axis="axisRow" fieldPosition="0"/>
    </format>
    <format dxfId="77">
      <pivotArea dataOnly="0" labelOnly="1" outline="0" fieldPosition="0">
        <references count="1">
          <reference field="4294967294" count="3">
            <x v="0"/>
            <x v="1"/>
            <x v="2"/>
          </reference>
        </references>
      </pivotArea>
    </format>
    <format dxfId="78">
      <pivotArea field="2" type="button" dataOnly="0" labelOnly="1" outline="0" axis="axisRow" fieldPosition="0"/>
    </format>
    <format dxfId="79">
      <pivotArea dataOnly="0" labelOnly="1" outline="0" fieldPosition="0">
        <references count="1">
          <reference field="4294967294" count="3">
            <x v="0"/>
            <x v="1"/>
            <x v="2"/>
          </reference>
        </references>
      </pivotArea>
    </format>
    <format dxfId="80">
      <pivotArea outline="0" collapsedLevelsAreSubtotals="1" fieldPosition="0"/>
    </format>
    <format dxfId="81">
      <pivotArea dataOnly="0" labelOnly="1" fieldPosition="0">
        <references count="1">
          <reference field="2" count="0"/>
        </references>
      </pivotArea>
    </format>
    <format dxfId="82">
      <pivotArea dataOnly="0" labelOnly="1" grandRow="1" outline="0" fieldPosition="0"/>
    </format>
    <format dxfId="83">
      <pivotArea outline="0" collapsedLevelsAreSubtotals="1" fieldPosition="0"/>
    </format>
    <format dxfId="84">
      <pivotArea dataOnly="0" labelOnly="1" fieldPosition="0">
        <references count="1">
          <reference field="2" count="0"/>
        </references>
      </pivotArea>
    </format>
    <format dxfId="85">
      <pivotArea dataOnly="0" labelOnly="1" grandRow="1" outline="0" fieldPosition="0"/>
    </format>
    <format dxfId="86">
      <pivotArea outline="0" fieldPosition="0">
        <references count="1">
          <reference field="4294967294" count="1">
            <x v="0"/>
          </reference>
        </references>
      </pivotArea>
    </format>
    <format dxfId="87">
      <pivotArea outline="0" fieldPosition="0">
        <references count="1">
          <reference field="4294967294" count="1">
            <x v="2"/>
          </reference>
        </references>
      </pivotArea>
    </format>
  </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305E8E7-3B72-4FCC-A34C-F573157C94F5}" name="PivotTable6" cacheId="13" applyNumberFormats="0" applyBorderFormats="0" applyFontFormats="0" applyPatternFormats="0" applyAlignmentFormats="0" applyWidthHeightFormats="1" dataCaption="Values" missingCaption="0" updatedVersion="8" minRefreshableVersion="3" useAutoFormatting="1" itemPrintTitles="1" createdVersion="8" indent="0" compact="0" compactData="0" multipleFieldFilters="0" chartFormat="1">
  <location ref="A119:I126" firstHeaderRow="1" firstDataRow="2" firstDataCol="1"/>
  <pivotFields count="11">
    <pivotField dataField="1" compact="0" outline="0" showAll="0"/>
    <pivotField compact="0" outline="0" showAll="0"/>
    <pivotField axis="axisCol" compact="0" outline="0" showAll="0">
      <items count="8">
        <item x="5"/>
        <item x="1"/>
        <item x="2"/>
        <item x="0"/>
        <item x="4"/>
        <item x="6"/>
        <item x="3"/>
        <item t="default"/>
      </items>
    </pivotField>
    <pivotField axis="axisRow" compact="0" outline="0" showAll="0">
      <items count="6">
        <item x="1"/>
        <item x="0"/>
        <item x="2"/>
        <item x="4"/>
        <item x="3"/>
        <item t="default"/>
      </items>
    </pivotField>
    <pivotField compact="0" outline="0" showAll="0"/>
    <pivotField compact="0" outline="0" showAll="0"/>
    <pivotField compact="0" outline="0" showAll="0">
      <items count="7">
        <item x="5"/>
        <item x="2"/>
        <item x="0"/>
        <item x="4"/>
        <item x="1"/>
        <item x="3"/>
        <item t="default"/>
      </items>
    </pivotField>
    <pivotField compact="0" numFmtId="14" outline="0" showAll="0"/>
    <pivotField compact="0" outline="0" showAll="0"/>
    <pivotField compact="0" outline="0" showAll="0"/>
    <pivotField compact="0" outline="0" showAll="0"/>
  </pivotFields>
  <rowFields count="1">
    <field x="3"/>
  </rowFields>
  <rowItems count="6">
    <i>
      <x/>
    </i>
    <i>
      <x v="1"/>
    </i>
    <i>
      <x v="2"/>
    </i>
    <i>
      <x v="3"/>
    </i>
    <i>
      <x v="4"/>
    </i>
    <i t="grand">
      <x/>
    </i>
  </rowItems>
  <colFields count="1">
    <field x="2"/>
  </colFields>
  <colItems count="8">
    <i>
      <x/>
    </i>
    <i>
      <x v="1"/>
    </i>
    <i>
      <x v="2"/>
    </i>
    <i>
      <x v="3"/>
    </i>
    <i>
      <x v="4"/>
    </i>
    <i>
      <x v="5"/>
    </i>
    <i>
      <x v="6"/>
    </i>
    <i t="grand">
      <x/>
    </i>
  </colItems>
  <dataFields count="1">
    <dataField name="Employee Count" fld="0" subtotal="count" baseField="0" baseItem="0"/>
  </dataFields>
  <formats count="26">
    <format dxfId="88">
      <pivotArea type="all" dataOnly="0" outline="0" fieldPosition="0"/>
    </format>
    <format dxfId="89">
      <pivotArea outline="0" collapsedLevelsAreSubtotals="1" fieldPosition="0"/>
    </format>
    <format dxfId="90">
      <pivotArea type="origin" dataOnly="0" labelOnly="1" outline="0" fieldPosition="0"/>
    </format>
    <format dxfId="91">
      <pivotArea field="2" type="button" dataOnly="0" labelOnly="1" outline="0" axis="axisCol" fieldPosition="0"/>
    </format>
    <format dxfId="92">
      <pivotArea type="topRight" dataOnly="0" labelOnly="1" outline="0" fieldPosition="0"/>
    </format>
    <format dxfId="93">
      <pivotArea field="3" type="button" dataOnly="0" labelOnly="1" outline="0" axis="axisRow" fieldPosition="0"/>
    </format>
    <format dxfId="94">
      <pivotArea dataOnly="0" labelOnly="1" fieldPosition="0">
        <references count="1">
          <reference field="3" count="0"/>
        </references>
      </pivotArea>
    </format>
    <format dxfId="95">
      <pivotArea dataOnly="0" labelOnly="1" grandRow="1" outline="0" fieldPosition="0"/>
    </format>
    <format dxfId="96">
      <pivotArea dataOnly="0" labelOnly="1" fieldPosition="0">
        <references count="1">
          <reference field="2" count="0"/>
        </references>
      </pivotArea>
    </format>
    <format dxfId="97">
      <pivotArea dataOnly="0" labelOnly="1" grandCol="1" outline="0" fieldPosition="0"/>
    </format>
    <format dxfId="98">
      <pivotArea type="all" dataOnly="0" outline="0" fieldPosition="0"/>
    </format>
    <format dxfId="99">
      <pivotArea outline="0" collapsedLevelsAreSubtotals="1" fieldPosition="0"/>
    </format>
    <format dxfId="100">
      <pivotArea type="origin" dataOnly="0" labelOnly="1" outline="0" fieldPosition="0"/>
    </format>
    <format dxfId="101">
      <pivotArea field="2" type="button" dataOnly="0" labelOnly="1" outline="0" axis="axisCol" fieldPosition="0"/>
    </format>
    <format dxfId="102">
      <pivotArea type="topRight" dataOnly="0" labelOnly="1" outline="0" fieldPosition="0"/>
    </format>
    <format dxfId="103">
      <pivotArea field="3" type="button" dataOnly="0" labelOnly="1" outline="0" axis="axisRow" fieldPosition="0"/>
    </format>
    <format dxfId="104">
      <pivotArea dataOnly="0" labelOnly="1" fieldPosition="0">
        <references count="1">
          <reference field="3" count="0"/>
        </references>
      </pivotArea>
    </format>
    <format dxfId="105">
      <pivotArea dataOnly="0" labelOnly="1" grandRow="1" outline="0" fieldPosition="0"/>
    </format>
    <format dxfId="106">
      <pivotArea dataOnly="0" labelOnly="1" fieldPosition="0">
        <references count="1">
          <reference field="2" count="0"/>
        </references>
      </pivotArea>
    </format>
    <format dxfId="107">
      <pivotArea dataOnly="0" labelOnly="1" grandCol="1" outline="0" fieldPosition="0"/>
    </format>
    <format dxfId="108">
      <pivotArea type="origin" dataOnly="0" labelOnly="1" outline="0" fieldPosition="0"/>
    </format>
    <format dxfId="109">
      <pivotArea field="2" type="button" dataOnly="0" labelOnly="1" outline="0" axis="axisCol" fieldPosition="0"/>
    </format>
    <format dxfId="110">
      <pivotArea type="topRight" dataOnly="0" labelOnly="1" outline="0" fieldPosition="0"/>
    </format>
    <format dxfId="111">
      <pivotArea field="3" type="button" dataOnly="0" labelOnly="1" outline="0" axis="axisRow" fieldPosition="0"/>
    </format>
    <format dxfId="112">
      <pivotArea dataOnly="0" labelOnly="1" outline="0" fieldPosition="0">
        <references count="1">
          <reference field="2" count="0"/>
        </references>
      </pivotArea>
    </format>
    <format dxfId="113">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BE76442-9AAE-4D2E-8BE0-03DAC493341A}" name="PivotTable5" cacheId="13" applyNumberFormats="0" applyBorderFormats="0" applyFontFormats="0" applyPatternFormats="0" applyAlignmentFormats="0" applyWidthHeightFormats="1" dataCaption="Values" missingCaption="0" updatedVersion="8" minRefreshableVersion="3" useAutoFormatting="1" itemPrintTitles="1" createdVersion="8" indent="0" compact="0" compactData="0" multipleFieldFilters="0" chartFormat="1" rowHeaderCaption="Department" colHeaderCaption="Performance Rating">
  <location ref="A51:H60" firstHeaderRow="1" firstDataRow="2" firstDataCol="1"/>
  <pivotFields count="11">
    <pivotField compact="0" outline="0" showAll="0"/>
    <pivotField compact="0" outline="0" showAll="0"/>
    <pivotField axis="axisRow" compact="0" outline="0" showAll="0">
      <items count="8">
        <item x="5"/>
        <item x="1"/>
        <item x="2"/>
        <item x="0"/>
        <item x="4"/>
        <item x="6"/>
        <item x="3"/>
        <item t="default"/>
      </items>
    </pivotField>
    <pivotField compact="0" outline="0" showAll="0">
      <items count="6">
        <item x="1"/>
        <item x="0"/>
        <item x="2"/>
        <item x="4"/>
        <item x="3"/>
        <item t="default"/>
      </items>
    </pivotField>
    <pivotField dataField="1" compact="0" outline="0" showAll="0"/>
    <pivotField compact="0" outline="0" showAll="0"/>
    <pivotField axis="axisCol" compact="0" outline="0" showAll="0">
      <items count="7">
        <item x="5"/>
        <item x="2"/>
        <item x="0"/>
        <item x="4"/>
        <item x="1"/>
        <item x="3"/>
        <item t="default"/>
      </items>
    </pivotField>
    <pivotField compact="0" numFmtId="14" outline="0" showAll="0"/>
    <pivotField compact="0" outline="0" showAll="0"/>
    <pivotField compact="0" outline="0" showAll="0"/>
    <pivotField compact="0" outline="0" showAll="0"/>
  </pivotFields>
  <rowFields count="1">
    <field x="2"/>
  </rowFields>
  <rowItems count="8">
    <i>
      <x/>
    </i>
    <i>
      <x v="1"/>
    </i>
    <i>
      <x v="2"/>
    </i>
    <i>
      <x v="3"/>
    </i>
    <i>
      <x v="4"/>
    </i>
    <i>
      <x v="5"/>
    </i>
    <i>
      <x v="6"/>
    </i>
    <i t="grand">
      <x/>
    </i>
  </rowItems>
  <colFields count="1">
    <field x="6"/>
  </colFields>
  <colItems count="7">
    <i>
      <x/>
    </i>
    <i>
      <x v="1"/>
    </i>
    <i>
      <x v="2"/>
    </i>
    <i>
      <x v="3"/>
    </i>
    <i>
      <x v="4"/>
    </i>
    <i>
      <x v="5"/>
    </i>
    <i t="grand">
      <x/>
    </i>
  </colItems>
  <dataFields count="1">
    <dataField name="Total salary" fld="4" baseField="2" baseItem="0" numFmtId="165"/>
  </dataFields>
  <formats count="27">
    <format dxfId="114">
      <pivotArea type="all" dataOnly="0" outline="0" fieldPosition="0"/>
    </format>
    <format dxfId="115">
      <pivotArea outline="0" collapsedLevelsAreSubtotals="1" fieldPosition="0"/>
    </format>
    <format dxfId="116">
      <pivotArea type="origin" dataOnly="0" labelOnly="1" outline="0" fieldPosition="0"/>
    </format>
    <format dxfId="117">
      <pivotArea field="6" type="button" dataOnly="0" labelOnly="1" outline="0" axis="axisCol" fieldPosition="0"/>
    </format>
    <format dxfId="118">
      <pivotArea type="topRight" dataOnly="0" labelOnly="1" outline="0" fieldPosition="0"/>
    </format>
    <format dxfId="119">
      <pivotArea field="2" type="button" dataOnly="0" labelOnly="1" outline="0" axis="axisRow" fieldPosition="0"/>
    </format>
    <format dxfId="120">
      <pivotArea dataOnly="0" labelOnly="1" fieldPosition="0">
        <references count="1">
          <reference field="2" count="0"/>
        </references>
      </pivotArea>
    </format>
    <format dxfId="121">
      <pivotArea dataOnly="0" labelOnly="1" grandRow="1" outline="0" fieldPosition="0"/>
    </format>
    <format dxfId="122">
      <pivotArea dataOnly="0" labelOnly="1" fieldPosition="0">
        <references count="1">
          <reference field="6" count="0"/>
        </references>
      </pivotArea>
    </format>
    <format dxfId="123">
      <pivotArea dataOnly="0" labelOnly="1" grandCol="1" outline="0" fieldPosition="0"/>
    </format>
    <format dxfId="124">
      <pivotArea type="all" dataOnly="0" outline="0" fieldPosition="0"/>
    </format>
    <format dxfId="125">
      <pivotArea outline="0" collapsedLevelsAreSubtotals="1" fieldPosition="0"/>
    </format>
    <format dxfId="126">
      <pivotArea type="origin" dataOnly="0" labelOnly="1" outline="0" fieldPosition="0"/>
    </format>
    <format dxfId="127">
      <pivotArea field="6" type="button" dataOnly="0" labelOnly="1" outline="0" axis="axisCol" fieldPosition="0"/>
    </format>
    <format dxfId="128">
      <pivotArea type="topRight" dataOnly="0" labelOnly="1" outline="0" fieldPosition="0"/>
    </format>
    <format dxfId="129">
      <pivotArea field="2" type="button" dataOnly="0" labelOnly="1" outline="0" axis="axisRow" fieldPosition="0"/>
    </format>
    <format dxfId="130">
      <pivotArea dataOnly="0" labelOnly="1" fieldPosition="0">
        <references count="1">
          <reference field="2" count="0"/>
        </references>
      </pivotArea>
    </format>
    <format dxfId="131">
      <pivotArea dataOnly="0" labelOnly="1" grandRow="1" outline="0" fieldPosition="0"/>
    </format>
    <format dxfId="132">
      <pivotArea dataOnly="0" labelOnly="1" fieldPosition="0">
        <references count="1">
          <reference field="6" count="0"/>
        </references>
      </pivotArea>
    </format>
    <format dxfId="133">
      <pivotArea dataOnly="0" labelOnly="1" grandCol="1" outline="0" fieldPosition="0"/>
    </format>
    <format dxfId="134">
      <pivotArea type="origin" dataOnly="0" labelOnly="1" outline="0" fieldPosition="0"/>
    </format>
    <format dxfId="135">
      <pivotArea field="6" type="button" dataOnly="0" labelOnly="1" outline="0" axis="axisCol" fieldPosition="0"/>
    </format>
    <format dxfId="136">
      <pivotArea type="topRight" dataOnly="0" labelOnly="1" outline="0" fieldPosition="0"/>
    </format>
    <format dxfId="137">
      <pivotArea field="2" type="button" dataOnly="0" labelOnly="1" outline="0" axis="axisRow" fieldPosition="0"/>
    </format>
    <format dxfId="138">
      <pivotArea dataOnly="0" labelOnly="1" fieldPosition="0">
        <references count="1">
          <reference field="6" count="0"/>
        </references>
      </pivotArea>
    </format>
    <format dxfId="139">
      <pivotArea dataOnly="0" labelOnly="1" grandCol="1" outline="0" fieldPosition="0"/>
    </format>
    <format dxfId="14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0D41727-6B8D-42C1-A0E9-B52E0058A801}" name="PivotTable4" cacheId="1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rowHeaderCaption="Department">
  <location ref="A39:B47" firstHeaderRow="1" firstDataRow="1" firstDataCol="1"/>
  <pivotFields count="11">
    <pivotField compact="0" outline="0" showAll="0"/>
    <pivotField compact="0" outline="0" showAll="0"/>
    <pivotField axis="axisRow" compact="0" outline="0" showAll="0">
      <items count="8">
        <item x="5"/>
        <item x="1"/>
        <item x="2"/>
        <item x="0"/>
        <item x="4"/>
        <item x="6"/>
        <item x="3"/>
        <item t="default"/>
      </items>
    </pivotField>
    <pivotField compact="0" outline="0" showAll="0">
      <items count="6">
        <item x="1"/>
        <item x="0"/>
        <item x="2"/>
        <item x="4"/>
        <item x="3"/>
        <item t="default"/>
      </items>
    </pivotField>
    <pivotField compact="0" outline="0" showAll="0"/>
    <pivotField compact="0" outline="0" showAll="0"/>
    <pivotField dataField="1" compact="0" outline="0" showAll="0">
      <items count="7">
        <item x="5"/>
        <item x="2"/>
        <item x="0"/>
        <item x="4"/>
        <item x="1"/>
        <item x="3"/>
        <item t="default"/>
      </items>
    </pivotField>
    <pivotField compact="0" numFmtId="14" outline="0" showAll="0"/>
    <pivotField compact="0" outline="0" showAll="0"/>
    <pivotField compact="0" outline="0" showAll="0"/>
    <pivotField compact="0" outline="0" showAll="0"/>
  </pivotFields>
  <rowFields count="1">
    <field x="2"/>
  </rowFields>
  <rowItems count="8">
    <i>
      <x/>
    </i>
    <i>
      <x v="1"/>
    </i>
    <i>
      <x v="2"/>
    </i>
    <i>
      <x v="3"/>
    </i>
    <i>
      <x v="4"/>
    </i>
    <i>
      <x v="5"/>
    </i>
    <i>
      <x v="6"/>
    </i>
    <i t="grand">
      <x/>
    </i>
  </rowItems>
  <colItems count="1">
    <i/>
  </colItems>
  <dataFields count="1">
    <dataField name="Average Performance Rating" fld="6" subtotal="average" baseField="2" baseItem="0" numFmtId="164"/>
  </dataFields>
  <formats count="14">
    <format dxfId="141">
      <pivotArea type="all" dataOnly="0" outline="0" fieldPosition="0"/>
    </format>
    <format dxfId="142">
      <pivotArea outline="0" collapsedLevelsAreSubtotals="1" fieldPosition="0"/>
    </format>
    <format dxfId="143">
      <pivotArea field="2" type="button" dataOnly="0" labelOnly="1" outline="0" axis="axisRow" fieldPosition="0"/>
    </format>
    <format dxfId="144">
      <pivotArea dataOnly="0" labelOnly="1" fieldPosition="0">
        <references count="1">
          <reference field="2" count="0"/>
        </references>
      </pivotArea>
    </format>
    <format dxfId="145">
      <pivotArea dataOnly="0" labelOnly="1" grandRow="1" outline="0" fieldPosition="0"/>
    </format>
    <format dxfId="146">
      <pivotArea dataOnly="0" labelOnly="1" outline="0" axis="axisValues" fieldPosition="0"/>
    </format>
    <format dxfId="147">
      <pivotArea type="all" dataOnly="0" outline="0" fieldPosition="0"/>
    </format>
    <format dxfId="148">
      <pivotArea outline="0" collapsedLevelsAreSubtotals="1" fieldPosition="0"/>
    </format>
    <format dxfId="149">
      <pivotArea field="2" type="button" dataOnly="0" labelOnly="1" outline="0" axis="axisRow" fieldPosition="0"/>
    </format>
    <format dxfId="150">
      <pivotArea dataOnly="0" labelOnly="1" fieldPosition="0">
        <references count="1">
          <reference field="2" count="0"/>
        </references>
      </pivotArea>
    </format>
    <format dxfId="151">
      <pivotArea dataOnly="0" labelOnly="1" grandRow="1" outline="0" fieldPosition="0"/>
    </format>
    <format dxfId="152">
      <pivotArea dataOnly="0" labelOnly="1" outline="0" axis="axisValues" fieldPosition="0"/>
    </format>
    <format dxfId="153">
      <pivotArea field="2" type="button" dataOnly="0" labelOnly="1" outline="0" axis="axisRow" fieldPosition="0"/>
    </format>
    <format dxfId="15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0CE4634-6424-4C19-B7E9-5F4D0E8A5D81}" name="PivotTable3" cacheId="1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rowHeaderCaption="Location">
  <location ref="A109:D115" firstHeaderRow="0" firstDataRow="1" firstDataCol="1"/>
  <pivotFields count="11">
    <pivotField dataField="1" compact="0" outline="0" showAll="0"/>
    <pivotField compact="0" outline="0" showAll="0"/>
    <pivotField compact="0" outline="0" showAll="0">
      <items count="8">
        <item x="5"/>
        <item x="1"/>
        <item x="2"/>
        <item x="0"/>
        <item x="4"/>
        <item x="6"/>
        <item x="3"/>
        <item t="default"/>
      </items>
    </pivotField>
    <pivotField axis="axisRow" compact="0" outline="0" showAll="0">
      <items count="6">
        <item x="1"/>
        <item x="0"/>
        <item x="2"/>
        <item x="4"/>
        <item x="3"/>
        <item t="default"/>
      </items>
    </pivotField>
    <pivotField dataField="1" compact="0" outline="0" showAll="0"/>
    <pivotField compact="0" outline="0" showAll="0"/>
    <pivotField compact="0" outline="0" showAll="0">
      <items count="7">
        <item x="5"/>
        <item x="2"/>
        <item x="0"/>
        <item x="4"/>
        <item x="1"/>
        <item x="3"/>
        <item t="default"/>
      </items>
    </pivotField>
    <pivotField compact="0" numFmtId="14" outline="0" showAll="0"/>
    <pivotField compact="0" outline="0" showAll="0"/>
    <pivotField compact="0" outline="0" showAll="0"/>
    <pivotField compact="0" outline="0" showAll="0"/>
  </pivotFields>
  <rowFields count="1">
    <field x="3"/>
  </rowFields>
  <rowItems count="6">
    <i>
      <x/>
    </i>
    <i>
      <x v="1"/>
    </i>
    <i>
      <x v="2"/>
    </i>
    <i>
      <x v="3"/>
    </i>
    <i>
      <x v="4"/>
    </i>
    <i t="grand">
      <x/>
    </i>
  </rowItems>
  <colFields count="1">
    <field x="-2"/>
  </colFields>
  <colItems count="3">
    <i>
      <x/>
    </i>
    <i i="1">
      <x v="1"/>
    </i>
    <i i="2">
      <x v="2"/>
    </i>
  </colItems>
  <dataFields count="3">
    <dataField name="Employee Count" fld="0" subtotal="count" baseField="0" baseItem="0"/>
    <dataField name="Total Salary" fld="4" baseField="3" baseItem="0" numFmtId="165"/>
    <dataField name="Average Salary" fld="4" subtotal="average" baseField="3" baseItem="0" numFmtId="165"/>
  </dataFields>
  <formats count="16">
    <format dxfId="155">
      <pivotArea type="all" dataOnly="0" outline="0" fieldPosition="0"/>
    </format>
    <format dxfId="156">
      <pivotArea outline="0" collapsedLevelsAreSubtotals="1" fieldPosition="0"/>
    </format>
    <format dxfId="157">
      <pivotArea field="3" type="button" dataOnly="0" labelOnly="1" outline="0" axis="axisRow" fieldPosition="0"/>
    </format>
    <format dxfId="158">
      <pivotArea dataOnly="0" labelOnly="1" fieldPosition="0">
        <references count="1">
          <reference field="3" count="0"/>
        </references>
      </pivotArea>
    </format>
    <format dxfId="159">
      <pivotArea dataOnly="0" labelOnly="1" grandRow="1" outline="0" fieldPosition="0"/>
    </format>
    <format dxfId="160">
      <pivotArea dataOnly="0" labelOnly="1" outline="0" fieldPosition="0">
        <references count="1">
          <reference field="4294967294" count="3">
            <x v="0"/>
            <x v="1"/>
            <x v="2"/>
          </reference>
        </references>
      </pivotArea>
    </format>
    <format dxfId="161">
      <pivotArea type="all" dataOnly="0" outline="0" fieldPosition="0"/>
    </format>
    <format dxfId="162">
      <pivotArea outline="0" collapsedLevelsAreSubtotals="1" fieldPosition="0"/>
    </format>
    <format dxfId="163">
      <pivotArea field="3" type="button" dataOnly="0" labelOnly="1" outline="0" axis="axisRow" fieldPosition="0"/>
    </format>
    <format dxfId="164">
      <pivotArea dataOnly="0" labelOnly="1" fieldPosition="0">
        <references count="1">
          <reference field="3" count="0"/>
        </references>
      </pivotArea>
    </format>
    <format dxfId="165">
      <pivotArea dataOnly="0" labelOnly="1" grandRow="1" outline="0" fieldPosition="0"/>
    </format>
    <format dxfId="166">
      <pivotArea dataOnly="0" labelOnly="1" outline="0" fieldPosition="0">
        <references count="1">
          <reference field="4294967294" count="3">
            <x v="0"/>
            <x v="1"/>
            <x v="2"/>
          </reference>
        </references>
      </pivotArea>
    </format>
    <format dxfId="167">
      <pivotArea outline="0" fieldPosition="0">
        <references count="1">
          <reference field="4294967294" count="1">
            <x v="1"/>
          </reference>
        </references>
      </pivotArea>
    </format>
    <format dxfId="168">
      <pivotArea outline="0" fieldPosition="0">
        <references count="1">
          <reference field="4294967294" count="1">
            <x v="2"/>
          </reference>
        </references>
      </pivotArea>
    </format>
    <format dxfId="169">
      <pivotArea field="3" type="button" dataOnly="0" labelOnly="1" outline="0" axis="axisRow" fieldPosition="0"/>
    </format>
    <format dxfId="170">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8F4B3D3-D58F-46FC-A9EA-108E8370ACA9}" name="PivotTable2" cacheId="1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rowHeaderCaption="Location">
  <location ref="A99:C105" firstHeaderRow="0" firstDataRow="1" firstDataCol="1"/>
  <pivotFields count="11">
    <pivotField dataField="1" compact="0" outline="0" showAll="0"/>
    <pivotField compact="0" outline="0" showAll="0"/>
    <pivotField compact="0" outline="0" showAll="0">
      <items count="8">
        <item x="5"/>
        <item x="1"/>
        <item x="2"/>
        <item x="0"/>
        <item x="4"/>
        <item x="6"/>
        <item x="3"/>
        <item t="default"/>
      </items>
    </pivotField>
    <pivotField axis="axisRow" compact="0" outline="0" showAll="0">
      <items count="6">
        <item x="1"/>
        <item x="0"/>
        <item x="2"/>
        <item x="4"/>
        <item x="3"/>
        <item t="default"/>
      </items>
    </pivotField>
    <pivotField dataField="1" compact="0" outline="0" showAll="0"/>
    <pivotField compact="0" outline="0" showAll="0"/>
    <pivotField compact="0" outline="0" showAll="0">
      <items count="7">
        <item x="5"/>
        <item x="2"/>
        <item x="0"/>
        <item x="4"/>
        <item x="1"/>
        <item x="3"/>
        <item t="default"/>
      </items>
    </pivotField>
    <pivotField compact="0" numFmtId="14" outline="0" showAll="0"/>
    <pivotField compact="0" outline="0" showAll="0"/>
    <pivotField compact="0" outline="0" showAll="0"/>
    <pivotField compact="0" outline="0" showAll="0"/>
  </pivotFields>
  <rowFields count="1">
    <field x="3"/>
  </rowFields>
  <rowItems count="6">
    <i>
      <x/>
    </i>
    <i>
      <x v="1"/>
    </i>
    <i>
      <x v="2"/>
    </i>
    <i>
      <x v="3"/>
    </i>
    <i>
      <x v="4"/>
    </i>
    <i t="grand">
      <x/>
    </i>
  </rowItems>
  <colFields count="1">
    <field x="-2"/>
  </colFields>
  <colItems count="2">
    <i>
      <x/>
    </i>
    <i i="1">
      <x v="1"/>
    </i>
  </colItems>
  <dataFields count="2">
    <dataField name="Employee Count" fld="0" subtotal="count" baseField="0" baseItem="0"/>
    <dataField name="Total Salary" fld="4" baseField="3" baseItem="0" numFmtId="165"/>
  </dataFields>
  <formats count="15">
    <format dxfId="171">
      <pivotArea type="all" dataOnly="0" outline="0" fieldPosition="0"/>
    </format>
    <format dxfId="172">
      <pivotArea outline="0" collapsedLevelsAreSubtotals="1" fieldPosition="0"/>
    </format>
    <format dxfId="173">
      <pivotArea field="3" type="button" dataOnly="0" labelOnly="1" outline="0" axis="axisRow" fieldPosition="0"/>
    </format>
    <format dxfId="174">
      <pivotArea dataOnly="0" labelOnly="1" fieldPosition="0">
        <references count="1">
          <reference field="3" count="0"/>
        </references>
      </pivotArea>
    </format>
    <format dxfId="175">
      <pivotArea dataOnly="0" labelOnly="1" grandRow="1" outline="0" fieldPosition="0"/>
    </format>
    <format dxfId="176">
      <pivotArea dataOnly="0" labelOnly="1" outline="0" fieldPosition="0">
        <references count="1">
          <reference field="4294967294" count="2">
            <x v="0"/>
            <x v="1"/>
          </reference>
        </references>
      </pivotArea>
    </format>
    <format dxfId="177">
      <pivotArea type="all" dataOnly="0" outline="0" fieldPosition="0"/>
    </format>
    <format dxfId="178">
      <pivotArea outline="0" collapsedLevelsAreSubtotals="1" fieldPosition="0"/>
    </format>
    <format dxfId="179">
      <pivotArea field="3" type="button" dataOnly="0" labelOnly="1" outline="0" axis="axisRow" fieldPosition="0"/>
    </format>
    <format dxfId="180">
      <pivotArea dataOnly="0" labelOnly="1" fieldPosition="0">
        <references count="1">
          <reference field="3" count="0"/>
        </references>
      </pivotArea>
    </format>
    <format dxfId="181">
      <pivotArea dataOnly="0" labelOnly="1" grandRow="1" outline="0" fieldPosition="0"/>
    </format>
    <format dxfId="182">
      <pivotArea dataOnly="0" labelOnly="1" outline="0" fieldPosition="0">
        <references count="1">
          <reference field="4294967294" count="2">
            <x v="0"/>
            <x v="1"/>
          </reference>
        </references>
      </pivotArea>
    </format>
    <format dxfId="183">
      <pivotArea field="3" type="button" dataOnly="0" labelOnly="1" outline="0" axis="axisRow" fieldPosition="0"/>
    </format>
    <format dxfId="184">
      <pivotArea dataOnly="0" labelOnly="1" outline="0" fieldPosition="0">
        <references count="1">
          <reference field="4294967294" count="2">
            <x v="0"/>
            <x v="1"/>
          </reference>
        </references>
      </pivotArea>
    </format>
    <format dxfId="185">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5FFB265-F3B1-48A9-AEF3-2BEC84212E50}" name="PivotTable1" cacheId="13" applyNumberFormats="0" applyBorderFormats="0" applyFontFormats="0" applyPatternFormats="0" applyAlignmentFormats="0" applyWidthHeightFormats="1" dataCaption="Values" missingCaption="0" updatedVersion="8" minRefreshableVersion="3" useAutoFormatting="1" itemPrintTitles="1" createdVersion="8" indent="0" compact="0" compactData="0" multipleFieldFilters="0" chartFormat="1" rowHeaderCaption="Department" colHeaderCaption="Performance Rating">
  <location ref="A26:H35" firstHeaderRow="1" firstDataRow="2" firstDataCol="1"/>
  <pivotFields count="11">
    <pivotField dataField="1" compact="0" outline="0" showAll="0"/>
    <pivotField compact="0" outline="0" showAll="0"/>
    <pivotField axis="axisRow" compact="0" outline="0" showAll="0">
      <items count="8">
        <item x="5"/>
        <item x="1"/>
        <item x="2"/>
        <item x="0"/>
        <item x="4"/>
        <item x="6"/>
        <item x="3"/>
        <item t="default"/>
      </items>
    </pivotField>
    <pivotField compact="0" outline="0" showAll="0">
      <items count="6">
        <item x="1"/>
        <item x="0"/>
        <item x="2"/>
        <item x="4"/>
        <item x="3"/>
        <item t="default"/>
      </items>
    </pivotField>
    <pivotField compact="0" outline="0" showAll="0"/>
    <pivotField compact="0" outline="0" showAll="0"/>
    <pivotField name=" Performance Rating" axis="axisCol" compact="0" outline="0" showAll="0">
      <items count="7">
        <item x="5"/>
        <item x="2"/>
        <item x="0"/>
        <item x="4"/>
        <item x="1"/>
        <item x="3"/>
        <item t="default"/>
      </items>
    </pivotField>
    <pivotField compact="0" numFmtId="14" outline="0" showAll="0"/>
    <pivotField compact="0" outline="0" showAll="0"/>
    <pivotField compact="0" outline="0" showAll="0"/>
    <pivotField compact="0" outline="0" showAll="0"/>
  </pivotFields>
  <rowFields count="1">
    <field x="2"/>
  </rowFields>
  <rowItems count="8">
    <i>
      <x/>
    </i>
    <i>
      <x v="1"/>
    </i>
    <i>
      <x v="2"/>
    </i>
    <i>
      <x v="3"/>
    </i>
    <i>
      <x v="4"/>
    </i>
    <i>
      <x v="5"/>
    </i>
    <i>
      <x v="6"/>
    </i>
    <i t="grand">
      <x/>
    </i>
  </rowItems>
  <colFields count="1">
    <field x="6"/>
  </colFields>
  <colItems count="7">
    <i>
      <x/>
    </i>
    <i>
      <x v="1"/>
    </i>
    <i>
      <x v="2"/>
    </i>
    <i>
      <x v="3"/>
    </i>
    <i>
      <x v="4"/>
    </i>
    <i>
      <x v="5"/>
    </i>
    <i t="grand">
      <x/>
    </i>
  </colItems>
  <dataFields count="1">
    <dataField name="Employee Count" fld="0" subtotal="count" baseField="0" baseItem="0"/>
  </dataFields>
  <formats count="27">
    <format dxfId="186">
      <pivotArea type="origin" dataOnly="0" labelOnly="1" outline="0" fieldPosition="0"/>
    </format>
    <format dxfId="187">
      <pivotArea field="6" type="button" dataOnly="0" labelOnly="1" outline="0" axis="axisCol" fieldPosition="0"/>
    </format>
    <format dxfId="188">
      <pivotArea type="topRight" dataOnly="0" labelOnly="1" outline="0" fieldPosition="0"/>
    </format>
    <format dxfId="189">
      <pivotArea field="2" type="button" dataOnly="0" labelOnly="1" outline="0" axis="axisRow" fieldPosition="0"/>
    </format>
    <format dxfId="190">
      <pivotArea dataOnly="0" labelOnly="1" fieldPosition="0">
        <references count="1">
          <reference field="6" count="0"/>
        </references>
      </pivotArea>
    </format>
    <format dxfId="191">
      <pivotArea dataOnly="0" labelOnly="1" grandCol="1" outline="0" fieldPosition="0"/>
    </format>
    <format dxfId="192">
      <pivotArea type="all" dataOnly="0" outline="0" fieldPosition="0"/>
    </format>
    <format dxfId="193">
      <pivotArea outline="0" collapsedLevelsAreSubtotals="1" fieldPosition="0"/>
    </format>
    <format dxfId="194">
      <pivotArea type="origin" dataOnly="0" labelOnly="1" outline="0" fieldPosition="0"/>
    </format>
    <format dxfId="195">
      <pivotArea field="6" type="button" dataOnly="0" labelOnly="1" outline="0" axis="axisCol" fieldPosition="0"/>
    </format>
    <format dxfId="196">
      <pivotArea type="topRight" dataOnly="0" labelOnly="1" outline="0" fieldPosition="0"/>
    </format>
    <format dxfId="197">
      <pivotArea field="2" type="button" dataOnly="0" labelOnly="1" outline="0" axis="axisRow" fieldPosition="0"/>
    </format>
    <format dxfId="198">
      <pivotArea dataOnly="0" labelOnly="1" fieldPosition="0">
        <references count="1">
          <reference field="2" count="0"/>
        </references>
      </pivotArea>
    </format>
    <format dxfId="199">
      <pivotArea dataOnly="0" labelOnly="1" grandRow="1" outline="0" fieldPosition="0"/>
    </format>
    <format dxfId="200">
      <pivotArea dataOnly="0" labelOnly="1" fieldPosition="0">
        <references count="1">
          <reference field="6" count="0"/>
        </references>
      </pivotArea>
    </format>
    <format dxfId="201">
      <pivotArea dataOnly="0" labelOnly="1" grandCol="1" outline="0" fieldPosition="0"/>
    </format>
    <format dxfId="202">
      <pivotArea type="all" dataOnly="0" outline="0" fieldPosition="0"/>
    </format>
    <format dxfId="203">
      <pivotArea outline="0" collapsedLevelsAreSubtotals="1" fieldPosition="0"/>
    </format>
    <format dxfId="204">
      <pivotArea type="origin" dataOnly="0" labelOnly="1" outline="0" fieldPosition="0"/>
    </format>
    <format dxfId="205">
      <pivotArea field="6" type="button" dataOnly="0" labelOnly="1" outline="0" axis="axisCol" fieldPosition="0"/>
    </format>
    <format dxfId="206">
      <pivotArea type="topRight" dataOnly="0" labelOnly="1" outline="0" fieldPosition="0"/>
    </format>
    <format dxfId="207">
      <pivotArea field="2" type="button" dataOnly="0" labelOnly="1" outline="0" axis="axisRow" fieldPosition="0"/>
    </format>
    <format dxfId="208">
      <pivotArea dataOnly="0" labelOnly="1" fieldPosition="0">
        <references count="1">
          <reference field="2" count="0"/>
        </references>
      </pivotArea>
    </format>
    <format dxfId="209">
      <pivotArea dataOnly="0" labelOnly="1" grandRow="1" outline="0" fieldPosition="0"/>
    </format>
    <format dxfId="210">
      <pivotArea dataOnly="0" labelOnly="1" fieldPosition="0">
        <references count="1">
          <reference field="6" count="0"/>
        </references>
      </pivotArea>
    </format>
    <format dxfId="211">
      <pivotArea dataOnly="0" labelOnly="1" grandCol="1" outline="0" fieldPosition="0"/>
    </format>
    <format dxfId="212">
      <pivotArea field="6" type="button" dataOnly="0" labelOnly="1" outline="0" axis="axisCol"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7558517-2D8B-4007-9934-54F56ECD4689}" sourceName="Department">
  <pivotTables>
    <pivotTable tabId="3" name="PivotTable4"/>
    <pivotTable tabId="3" name="PivotTable11"/>
    <pivotTable tabId="3" name="PivotTable7"/>
    <pivotTable tabId="3" name="PivotTable1"/>
    <pivotTable tabId="3" name="PivotTable9"/>
    <pivotTable tabId="3" name="PivotTable10"/>
    <pivotTable tabId="3" name="PivotTable8"/>
    <pivotTable tabId="3" name="PivotTable6"/>
    <pivotTable tabId="3" name="PivotTable2"/>
    <pivotTable tabId="3" name="PivotTable3"/>
    <pivotTable tabId="3" name="PivotTable5"/>
  </pivotTables>
  <data>
    <tabular pivotCacheId="1895641510">
      <items count="7">
        <i x="5" s="1"/>
        <i x="1" s="1"/>
        <i x="2" s="1"/>
        <i x="0" s="1"/>
        <i x="4" s="1"/>
        <i x="6"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76F5BBF7-5E01-458B-AB14-CA59AF1BE7ED}" sourceName="Location">
  <pivotTables>
    <pivotTable tabId="3" name="PivotTable4"/>
    <pivotTable tabId="3" name="PivotTable11"/>
    <pivotTable tabId="3" name="PivotTable7"/>
    <pivotTable tabId="3" name="PivotTable1"/>
    <pivotTable tabId="3" name="PivotTable9"/>
    <pivotTable tabId="3" name="PivotTable10"/>
    <pivotTable tabId="3" name="PivotTable8"/>
    <pivotTable tabId="3" name="PivotTable6"/>
    <pivotTable tabId="3" name="PivotTable2"/>
    <pivotTable tabId="3" name="PivotTable3"/>
    <pivotTable tabId="3" name="PivotTable5"/>
  </pivotTables>
  <data>
    <tabular pivotCacheId="1895641510">
      <items count="5">
        <i x="1" s="1"/>
        <i x="0" s="1"/>
        <i x="2"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Rating" xr10:uid="{AA9E24B4-788B-43FB-A9D8-4DD3D2666C43}" sourceName="Performance Rating">
  <pivotTables>
    <pivotTable tabId="3" name="PivotTable9"/>
    <pivotTable tabId="3" name="PivotTable3"/>
    <pivotTable tabId="3" name="PivotTable6"/>
    <pivotTable tabId="3" name="PivotTable7"/>
    <pivotTable tabId="3" name="PivotTable1"/>
    <pivotTable tabId="3" name="PivotTable4"/>
    <pivotTable tabId="3" name="PivotTable5"/>
    <pivotTable tabId="3" name="PivotTable11"/>
    <pivotTable tabId="3" name="PivotTable10"/>
    <pivotTable tabId="3" name="PivotTable8"/>
    <pivotTable tabId="3" name="PivotTable2"/>
  </pivotTables>
  <data>
    <tabular pivotCacheId="1895641510">
      <items count="6">
        <i x="5" s="1"/>
        <i x="2" s="1"/>
        <i x="0" s="1"/>
        <i x="4"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B2DDFF2A-EC3D-4C70-AE02-46BC9DB90207}" sourceName="Department">
  <data>
    <tabular pivotCacheId="1895641510">
      <items count="7">
        <i x="5" s="1"/>
        <i x="1" s="1"/>
        <i x="2" s="1"/>
        <i x="0" s="1"/>
        <i x="4" s="1"/>
        <i x="6"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1" xr10:uid="{831097F4-54C3-4CFC-82C7-A89FEAEE30A2}" sourceName="Location">
  <data>
    <tabular pivotCacheId="1895641510">
      <items count="5">
        <i x="1" s="1"/>
        <i x="0" s="1"/>
        <i x="2" s="1"/>
        <i x="4"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Rating1" xr10:uid="{9CAE381D-9521-4F7E-B30B-7D89946E7310}" sourceName="Performance Rating">
  <data>
    <tabular pivotCacheId="1895641510">
      <items count="6">
        <i x="5" s="1"/>
        <i x="2" s="1"/>
        <i x="0" s="1"/>
        <i x="4"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E4BC4F87-E409-4BC9-814B-673D4A204AD4}" cache="Slicer_Department1" caption="Department" rowHeight="234950"/>
  <slicer name="Location 1" xr10:uid="{1C532766-ED3F-452D-9FB3-C588A0C8C8E6}" cache="Slicer_Location1" caption="Location" rowHeight="360000"/>
  <slicer name="Performance Rating 1" xr10:uid="{3EBADB1B-3A1B-4BED-B97B-1E0053A2F005}" cache="Slicer_Performance_Rating1" caption="Performance Rating" rowHeight="288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B092D20C-6F0E-4367-A700-600E4E719602}" cache="Slicer_Department" caption="Department" rowHeight="252000"/>
  <slicer name="Location" xr10:uid="{868BD698-A391-4A97-957E-E63E3D9235CF}" cache="Slicer_Location" caption="Location" rowHeight="252000"/>
  <slicer name="Performance Rating" xr10:uid="{DDCCF6EA-10AD-490C-827E-F83D5F2062AF}" cache="Slicer_Performance_Rating" caption="Performance Rating"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A95D09-36CF-470E-A362-3B9FC82045A1}" name="Empdetail" displayName="Empdetail" ref="A1:K103" totalsRowCount="1">
  <autoFilter ref="A1:K102" xr:uid="{94A95D09-36CF-470E-A362-3B9FC82045A1}"/>
  <tableColumns count="11">
    <tableColumn id="1" xr3:uid="{80128200-D556-4F55-9A8F-C7E7F2C121B4}" name="Employee ID" totalsRowLabel="Total"/>
    <tableColumn id="2" xr3:uid="{C189C689-C7FA-4B2A-B62F-2E9F0DFBDE78}" name="Employee Name"/>
    <tableColumn id="3" xr3:uid="{AD90CF45-51DA-4DE4-82AF-9B926619DD45}" name="Department"/>
    <tableColumn id="4" xr3:uid="{209AA449-F487-4729-AFD0-5E1891B2FB7B}" name="Location"/>
    <tableColumn id="5" xr3:uid="{D835885B-565E-46D6-91CD-933DC5BC5EC8}" name="Salary" totalsRowFunction="average"/>
    <tableColumn id="6" xr3:uid="{FF6F3655-CEEF-4184-A73E-5531812EC4B3}" name="Experience"/>
    <tableColumn id="7" xr3:uid="{CF308B98-6E41-4686-8187-DE85CA121F52}" name="Performance Rating"/>
    <tableColumn id="8" xr3:uid="{8782B3B0-AC3B-4EAD-91BF-DAC730EEB60B}" name="Joining Date" dataDxfId="213"/>
    <tableColumn id="9" xr3:uid="{34ACB384-506E-4658-A580-63A5E7362494}" name="Age"/>
    <tableColumn id="10" xr3:uid="{649355C1-E9DF-4B89-BD52-C3697A38AC6E}" name="Sales" totalsRowFunction="average"/>
    <tableColumn id="11" xr3:uid="{748E0CCB-409D-427F-85AF-82DB51083629}" name="Status" totalsRowFunction="count"/>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03265-1865-459C-8EA7-9513EA41E05A}">
  <dimension ref="A1"/>
  <sheetViews>
    <sheetView showGridLines="0" tabSelected="1" topLeftCell="A30" workbookViewId="0">
      <selection activeCell="V11" sqref="V1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11CBD-4BEA-4DEF-9F62-5D4BB257AB92}">
  <sheetPr codeName="Sheet1"/>
  <dimension ref="A1:K103"/>
  <sheetViews>
    <sheetView workbookViewId="0">
      <selection sqref="A1:K103"/>
    </sheetView>
  </sheetViews>
  <sheetFormatPr defaultRowHeight="14.4" x14ac:dyDescent="0.3"/>
  <cols>
    <col min="1" max="1" width="13.77734375" bestFit="1" customWidth="1"/>
    <col min="2" max="2" width="17.109375" bestFit="1" customWidth="1"/>
    <col min="3" max="3" width="13.33203125" bestFit="1" customWidth="1"/>
    <col min="4" max="4" width="10.44140625" bestFit="1" customWidth="1"/>
    <col min="5" max="5" width="12" bestFit="1" customWidth="1"/>
    <col min="6" max="6" width="12.33203125" bestFit="1" customWidth="1"/>
    <col min="7" max="7" width="20.109375" bestFit="1" customWidth="1"/>
    <col min="8" max="8" width="13.44140625" bestFit="1" customWidth="1"/>
    <col min="9" max="9" width="6.44140625" bestFit="1" customWidth="1"/>
    <col min="10" max="10" width="12" bestFit="1" customWidth="1"/>
    <col min="11" max="11" width="8.5546875" bestFit="1" customWidth="1"/>
  </cols>
  <sheetData>
    <row r="1" spans="1:11" x14ac:dyDescent="0.3">
      <c r="A1" t="s">
        <v>210</v>
      </c>
      <c r="B1" t="s">
        <v>211</v>
      </c>
      <c r="C1" t="s">
        <v>212</v>
      </c>
      <c r="D1" t="s">
        <v>213</v>
      </c>
      <c r="E1" t="s">
        <v>214</v>
      </c>
      <c r="F1" t="s">
        <v>215</v>
      </c>
      <c r="G1" t="s">
        <v>216</v>
      </c>
      <c r="H1" t="s">
        <v>217</v>
      </c>
      <c r="I1" t="s">
        <v>218</v>
      </c>
      <c r="J1" t="s">
        <v>14</v>
      </c>
      <c r="K1" t="s">
        <v>219</v>
      </c>
    </row>
    <row r="2" spans="1:11" x14ac:dyDescent="0.3">
      <c r="A2" t="s">
        <v>0</v>
      </c>
      <c r="B2" t="s">
        <v>1</v>
      </c>
      <c r="C2" t="s">
        <v>2</v>
      </c>
      <c r="D2" t="s">
        <v>3</v>
      </c>
      <c r="E2">
        <v>45000</v>
      </c>
      <c r="F2">
        <v>3</v>
      </c>
      <c r="G2">
        <v>3.5</v>
      </c>
      <c r="H2" s="1">
        <v>44362</v>
      </c>
      <c r="I2">
        <v>27</v>
      </c>
      <c r="J2">
        <v>325000</v>
      </c>
      <c r="K2" t="s">
        <v>4</v>
      </c>
    </row>
    <row r="3" spans="1:11" x14ac:dyDescent="0.3">
      <c r="A3" t="s">
        <v>5</v>
      </c>
      <c r="B3" t="s">
        <v>6</v>
      </c>
      <c r="C3" t="s">
        <v>7</v>
      </c>
      <c r="D3" t="s">
        <v>8</v>
      </c>
      <c r="E3">
        <v>65000</v>
      </c>
      <c r="F3">
        <v>6</v>
      </c>
      <c r="G3">
        <v>4.5</v>
      </c>
      <c r="H3" s="1">
        <v>43506</v>
      </c>
      <c r="I3">
        <v>32</v>
      </c>
      <c r="J3">
        <v>450000</v>
      </c>
      <c r="K3" t="s">
        <v>4</v>
      </c>
    </row>
    <row r="4" spans="1:11" x14ac:dyDescent="0.3">
      <c r="A4" t="s">
        <v>9</v>
      </c>
      <c r="B4" t="s">
        <v>10</v>
      </c>
      <c r="C4" t="s">
        <v>11</v>
      </c>
      <c r="D4" t="s">
        <v>3</v>
      </c>
      <c r="E4">
        <v>38000</v>
      </c>
      <c r="F4">
        <v>2</v>
      </c>
      <c r="G4">
        <v>3</v>
      </c>
      <c r="H4" s="1">
        <v>44794</v>
      </c>
      <c r="I4">
        <v>25</v>
      </c>
      <c r="J4">
        <v>180000</v>
      </c>
      <c r="K4" t="s">
        <v>4</v>
      </c>
    </row>
    <row r="5" spans="1:11" x14ac:dyDescent="0.3">
      <c r="A5" t="s">
        <v>12</v>
      </c>
      <c r="B5" t="s">
        <v>13</v>
      </c>
      <c r="C5" t="s">
        <v>14</v>
      </c>
      <c r="D5" t="s">
        <v>15</v>
      </c>
      <c r="E5">
        <v>72000</v>
      </c>
      <c r="F5">
        <v>8</v>
      </c>
      <c r="G5">
        <v>5</v>
      </c>
      <c r="H5" s="1">
        <v>43105</v>
      </c>
      <c r="I5">
        <v>35</v>
      </c>
      <c r="J5">
        <v>850000</v>
      </c>
      <c r="K5" t="s">
        <v>4</v>
      </c>
    </row>
    <row r="6" spans="1:11" x14ac:dyDescent="0.3">
      <c r="A6" t="s">
        <v>16</v>
      </c>
      <c r="B6" t="s">
        <v>17</v>
      </c>
      <c r="C6" t="s">
        <v>18</v>
      </c>
      <c r="D6" t="s">
        <v>19</v>
      </c>
      <c r="E6">
        <v>55000</v>
      </c>
      <c r="F6">
        <v>5</v>
      </c>
      <c r="G6">
        <v>4</v>
      </c>
      <c r="H6" s="1">
        <v>44153</v>
      </c>
      <c r="I6">
        <v>30</v>
      </c>
      <c r="J6">
        <v>520000</v>
      </c>
      <c r="K6" t="s">
        <v>4</v>
      </c>
    </row>
    <row r="7" spans="1:11" x14ac:dyDescent="0.3">
      <c r="A7" t="s">
        <v>20</v>
      </c>
      <c r="B7" t="s">
        <v>21</v>
      </c>
      <c r="C7" t="s">
        <v>22</v>
      </c>
      <c r="D7" t="s">
        <v>3</v>
      </c>
      <c r="E7">
        <v>85000</v>
      </c>
      <c r="F7">
        <v>7</v>
      </c>
      <c r="G7">
        <v>4.5</v>
      </c>
      <c r="H7" s="1">
        <v>43536</v>
      </c>
      <c r="I7">
        <v>34</v>
      </c>
      <c r="J7">
        <v>750000</v>
      </c>
      <c r="K7" t="s">
        <v>4</v>
      </c>
    </row>
    <row r="8" spans="1:11" x14ac:dyDescent="0.3">
      <c r="A8" t="s">
        <v>23</v>
      </c>
      <c r="B8" t="s">
        <v>24</v>
      </c>
      <c r="C8" t="s">
        <v>25</v>
      </c>
      <c r="D8" t="s">
        <v>26</v>
      </c>
      <c r="E8">
        <v>42000</v>
      </c>
      <c r="F8">
        <v>4</v>
      </c>
      <c r="G8">
        <v>3.5</v>
      </c>
      <c r="H8" s="1">
        <v>44037</v>
      </c>
      <c r="I8">
        <v>29</v>
      </c>
      <c r="J8">
        <v>290000</v>
      </c>
      <c r="K8" t="s">
        <v>27</v>
      </c>
    </row>
    <row r="9" spans="1:11" x14ac:dyDescent="0.3">
      <c r="A9" t="s">
        <v>28</v>
      </c>
      <c r="B9" t="s">
        <v>29</v>
      </c>
      <c r="C9" t="s">
        <v>2</v>
      </c>
      <c r="D9" t="s">
        <v>8</v>
      </c>
      <c r="E9">
        <v>95000</v>
      </c>
      <c r="F9">
        <v>10</v>
      </c>
      <c r="G9">
        <v>5</v>
      </c>
      <c r="H9" s="1">
        <v>42468</v>
      </c>
      <c r="I9">
        <v>39</v>
      </c>
      <c r="J9">
        <v>920000</v>
      </c>
      <c r="K9" t="s">
        <v>4</v>
      </c>
    </row>
    <row r="10" spans="1:11" x14ac:dyDescent="0.3">
      <c r="A10" t="s">
        <v>30</v>
      </c>
      <c r="B10" t="s">
        <v>31</v>
      </c>
      <c r="C10" t="s">
        <v>7</v>
      </c>
      <c r="D10" t="s">
        <v>3</v>
      </c>
      <c r="E10">
        <v>60000</v>
      </c>
      <c r="F10">
        <v>5</v>
      </c>
      <c r="G10">
        <v>4</v>
      </c>
      <c r="H10" s="1">
        <v>44088</v>
      </c>
      <c r="I10">
        <v>31</v>
      </c>
      <c r="J10">
        <v>410000</v>
      </c>
      <c r="K10" t="s">
        <v>4</v>
      </c>
    </row>
    <row r="11" spans="1:11" x14ac:dyDescent="0.3">
      <c r="A11" t="s">
        <v>32</v>
      </c>
      <c r="B11" t="s">
        <v>33</v>
      </c>
      <c r="C11" t="s">
        <v>11</v>
      </c>
      <c r="D11" t="s">
        <v>15</v>
      </c>
      <c r="E11">
        <v>40000</v>
      </c>
      <c r="F11">
        <v>3</v>
      </c>
      <c r="G11">
        <v>3</v>
      </c>
      <c r="H11" s="1">
        <v>44581</v>
      </c>
      <c r="I11">
        <v>26</v>
      </c>
      <c r="J11">
        <v>210000</v>
      </c>
      <c r="K11" t="s">
        <v>4</v>
      </c>
    </row>
    <row r="12" spans="1:11" x14ac:dyDescent="0.3">
      <c r="A12" t="s">
        <v>34</v>
      </c>
      <c r="B12" t="s">
        <v>35</v>
      </c>
      <c r="C12" t="s">
        <v>14</v>
      </c>
      <c r="D12" t="s">
        <v>3</v>
      </c>
      <c r="E12">
        <v>78000</v>
      </c>
      <c r="F12">
        <v>9</v>
      </c>
      <c r="G12">
        <v>4.5</v>
      </c>
      <c r="H12" s="1">
        <v>42889</v>
      </c>
      <c r="I12">
        <v>37</v>
      </c>
      <c r="J12">
        <v>880000</v>
      </c>
      <c r="K12" t="s">
        <v>4</v>
      </c>
    </row>
    <row r="13" spans="1:11" x14ac:dyDescent="0.3">
      <c r="A13" t="s">
        <v>36</v>
      </c>
      <c r="B13" t="s">
        <v>37</v>
      </c>
      <c r="C13" t="s">
        <v>18</v>
      </c>
      <c r="D13" t="s">
        <v>8</v>
      </c>
      <c r="E13">
        <v>58000</v>
      </c>
      <c r="F13">
        <v>4</v>
      </c>
      <c r="G13">
        <v>3.5</v>
      </c>
      <c r="H13" s="1">
        <v>44480</v>
      </c>
      <c r="I13">
        <v>28</v>
      </c>
      <c r="J13">
        <v>460000</v>
      </c>
      <c r="K13" t="s">
        <v>4</v>
      </c>
    </row>
    <row r="14" spans="1:11" x14ac:dyDescent="0.3">
      <c r="A14" t="s">
        <v>38</v>
      </c>
      <c r="B14" t="s">
        <v>39</v>
      </c>
      <c r="C14" t="s">
        <v>22</v>
      </c>
      <c r="D14" t="s">
        <v>19</v>
      </c>
      <c r="E14">
        <v>90000</v>
      </c>
      <c r="F14">
        <v>8</v>
      </c>
      <c r="G14">
        <v>5</v>
      </c>
      <c r="H14" s="1">
        <v>43237</v>
      </c>
      <c r="I14">
        <v>36</v>
      </c>
      <c r="J14">
        <v>790000</v>
      </c>
      <c r="K14" t="s">
        <v>4</v>
      </c>
    </row>
    <row r="15" spans="1:11" x14ac:dyDescent="0.3">
      <c r="A15" t="s">
        <v>40</v>
      </c>
      <c r="B15" t="s">
        <v>41</v>
      </c>
      <c r="C15" t="s">
        <v>11</v>
      </c>
      <c r="D15" t="s">
        <v>26</v>
      </c>
      <c r="E15">
        <v>52000</v>
      </c>
      <c r="F15">
        <v>3</v>
      </c>
      <c r="G15">
        <v>4</v>
      </c>
      <c r="H15" s="1">
        <v>44614</v>
      </c>
      <c r="I15">
        <v>27</v>
      </c>
      <c r="J15">
        <v>350000</v>
      </c>
      <c r="K15" t="s">
        <v>4</v>
      </c>
    </row>
    <row r="16" spans="1:11" x14ac:dyDescent="0.3">
      <c r="A16" t="s">
        <v>42</v>
      </c>
      <c r="B16" t="s">
        <v>43</v>
      </c>
      <c r="C16" t="s">
        <v>25</v>
      </c>
      <c r="D16" t="s">
        <v>3</v>
      </c>
      <c r="E16">
        <v>47000</v>
      </c>
      <c r="F16">
        <v>5</v>
      </c>
      <c r="G16">
        <v>3</v>
      </c>
      <c r="H16" s="1">
        <v>44052</v>
      </c>
      <c r="I16">
        <v>30</v>
      </c>
      <c r="J16">
        <v>280000</v>
      </c>
      <c r="K16" t="s">
        <v>44</v>
      </c>
    </row>
    <row r="17" spans="1:11" x14ac:dyDescent="0.3">
      <c r="A17" t="s">
        <v>45</v>
      </c>
      <c r="B17" t="s">
        <v>46</v>
      </c>
      <c r="C17" t="s">
        <v>2</v>
      </c>
      <c r="D17" t="s">
        <v>15</v>
      </c>
      <c r="E17">
        <v>68000</v>
      </c>
      <c r="F17">
        <v>6</v>
      </c>
      <c r="G17">
        <v>4.5</v>
      </c>
      <c r="H17" s="1">
        <v>43815</v>
      </c>
      <c r="I17">
        <v>33</v>
      </c>
      <c r="J17">
        <v>610000</v>
      </c>
      <c r="K17" t="s">
        <v>4</v>
      </c>
    </row>
    <row r="18" spans="1:11" x14ac:dyDescent="0.3">
      <c r="A18" t="s">
        <v>47</v>
      </c>
      <c r="B18" t="s">
        <v>48</v>
      </c>
      <c r="C18" t="s">
        <v>14</v>
      </c>
      <c r="D18" t="s">
        <v>8</v>
      </c>
      <c r="E18">
        <v>110000</v>
      </c>
      <c r="F18">
        <v>12</v>
      </c>
      <c r="G18">
        <v>5</v>
      </c>
      <c r="H18" s="1">
        <v>42067</v>
      </c>
      <c r="I18">
        <v>42</v>
      </c>
      <c r="J18">
        <v>980000</v>
      </c>
      <c r="K18" t="s">
        <v>4</v>
      </c>
    </row>
    <row r="19" spans="1:11" x14ac:dyDescent="0.3">
      <c r="A19" t="s">
        <v>49</v>
      </c>
      <c r="B19" t="s">
        <v>50</v>
      </c>
      <c r="C19" t="s">
        <v>11</v>
      </c>
      <c r="D19" t="s">
        <v>19</v>
      </c>
      <c r="E19">
        <v>36000</v>
      </c>
      <c r="F19">
        <v>1</v>
      </c>
      <c r="G19">
        <v>2.5</v>
      </c>
      <c r="H19" s="1">
        <v>45135</v>
      </c>
      <c r="I19">
        <v>24</v>
      </c>
      <c r="J19">
        <v>150000</v>
      </c>
      <c r="K19" t="s">
        <v>4</v>
      </c>
    </row>
    <row r="20" spans="1:11" x14ac:dyDescent="0.3">
      <c r="A20" t="s">
        <v>51</v>
      </c>
      <c r="B20" t="s">
        <v>52</v>
      </c>
      <c r="C20" t="s">
        <v>18</v>
      </c>
      <c r="D20" t="s">
        <v>3</v>
      </c>
      <c r="E20">
        <v>63000</v>
      </c>
      <c r="F20">
        <v>7</v>
      </c>
      <c r="G20">
        <v>4</v>
      </c>
      <c r="H20" s="1">
        <v>43478</v>
      </c>
      <c r="I20">
        <v>35</v>
      </c>
      <c r="J20">
        <v>570000</v>
      </c>
      <c r="K20" t="s">
        <v>4</v>
      </c>
    </row>
    <row r="21" spans="1:11" x14ac:dyDescent="0.3">
      <c r="A21" t="s">
        <v>53</v>
      </c>
      <c r="B21" t="s">
        <v>54</v>
      </c>
      <c r="C21" t="s">
        <v>22</v>
      </c>
      <c r="D21" t="s">
        <v>26</v>
      </c>
      <c r="E21">
        <v>88000</v>
      </c>
      <c r="F21">
        <v>9</v>
      </c>
      <c r="G21">
        <v>4.5</v>
      </c>
      <c r="H21" s="1">
        <v>42905</v>
      </c>
      <c r="I21">
        <v>38</v>
      </c>
      <c r="J21">
        <v>820000</v>
      </c>
      <c r="K21" t="s">
        <v>4</v>
      </c>
    </row>
    <row r="22" spans="1:11" x14ac:dyDescent="0.3">
      <c r="A22" t="s">
        <v>55</v>
      </c>
      <c r="B22" t="s">
        <v>1</v>
      </c>
      <c r="C22" t="s">
        <v>7</v>
      </c>
      <c r="D22" t="s">
        <v>3</v>
      </c>
      <c r="E22">
        <v>75000</v>
      </c>
      <c r="F22">
        <v>8</v>
      </c>
      <c r="G22">
        <v>5</v>
      </c>
      <c r="H22" s="1">
        <v>42985</v>
      </c>
      <c r="I22">
        <v>36</v>
      </c>
      <c r="J22">
        <v>680000</v>
      </c>
      <c r="K22" t="s">
        <v>4</v>
      </c>
    </row>
    <row r="23" spans="1:11" x14ac:dyDescent="0.3">
      <c r="A23" t="s">
        <v>56</v>
      </c>
      <c r="B23" t="s">
        <v>57</v>
      </c>
      <c r="C23" t="s">
        <v>2</v>
      </c>
      <c r="D23" t="s">
        <v>19</v>
      </c>
      <c r="E23">
        <v>49000</v>
      </c>
      <c r="F23">
        <v>3</v>
      </c>
      <c r="G23">
        <v>3</v>
      </c>
      <c r="H23" s="1">
        <v>44515</v>
      </c>
      <c r="I23">
        <v>28</v>
      </c>
      <c r="J23">
        <v>300000</v>
      </c>
      <c r="K23" t="s">
        <v>4</v>
      </c>
    </row>
    <row r="24" spans="1:11" x14ac:dyDescent="0.3">
      <c r="A24" t="s">
        <v>58</v>
      </c>
      <c r="B24" t="s">
        <v>59</v>
      </c>
      <c r="C24" t="s">
        <v>14</v>
      </c>
      <c r="D24" t="s">
        <v>15</v>
      </c>
      <c r="E24">
        <v>67000</v>
      </c>
      <c r="F24">
        <v>6</v>
      </c>
      <c r="G24">
        <v>4</v>
      </c>
      <c r="H24" s="1">
        <v>43578</v>
      </c>
      <c r="I24">
        <v>32</v>
      </c>
      <c r="J24">
        <v>620000</v>
      </c>
      <c r="K24" t="s">
        <v>4</v>
      </c>
    </row>
    <row r="25" spans="1:11" x14ac:dyDescent="0.3">
      <c r="A25" t="s">
        <v>60</v>
      </c>
      <c r="B25" t="s">
        <v>61</v>
      </c>
      <c r="C25" t="s">
        <v>11</v>
      </c>
      <c r="D25" t="s">
        <v>8</v>
      </c>
      <c r="E25">
        <v>43000</v>
      </c>
      <c r="F25">
        <v>4</v>
      </c>
      <c r="G25">
        <v>3.5</v>
      </c>
      <c r="H25" s="1">
        <v>44134</v>
      </c>
      <c r="I25">
        <v>29</v>
      </c>
      <c r="J25">
        <v>240000</v>
      </c>
      <c r="K25" t="s">
        <v>4</v>
      </c>
    </row>
    <row r="26" spans="1:11" x14ac:dyDescent="0.3">
      <c r="A26" t="s">
        <v>62</v>
      </c>
      <c r="B26" t="s">
        <v>63</v>
      </c>
      <c r="C26" t="s">
        <v>25</v>
      </c>
      <c r="D26" t="s">
        <v>3</v>
      </c>
      <c r="E26">
        <v>59000</v>
      </c>
      <c r="F26">
        <v>5</v>
      </c>
      <c r="G26">
        <v>4</v>
      </c>
      <c r="H26" s="1">
        <v>43873</v>
      </c>
      <c r="I26">
        <v>31</v>
      </c>
      <c r="J26">
        <v>390000</v>
      </c>
      <c r="K26" t="s">
        <v>4</v>
      </c>
    </row>
    <row r="27" spans="1:11" x14ac:dyDescent="0.3">
      <c r="A27" t="s">
        <v>64</v>
      </c>
      <c r="B27" t="s">
        <v>65</v>
      </c>
      <c r="C27" t="s">
        <v>18</v>
      </c>
      <c r="D27" t="s">
        <v>26</v>
      </c>
      <c r="E27">
        <v>81000</v>
      </c>
      <c r="F27">
        <v>10</v>
      </c>
      <c r="G27">
        <v>4.5</v>
      </c>
      <c r="H27" s="1">
        <v>42496</v>
      </c>
      <c r="I27">
        <v>40</v>
      </c>
      <c r="J27">
        <v>730000</v>
      </c>
      <c r="K27" t="s">
        <v>4</v>
      </c>
    </row>
    <row r="28" spans="1:11" x14ac:dyDescent="0.3">
      <c r="A28" t="s">
        <v>66</v>
      </c>
      <c r="B28" t="s">
        <v>67</v>
      </c>
      <c r="C28" t="s">
        <v>22</v>
      </c>
      <c r="D28" t="s">
        <v>3</v>
      </c>
      <c r="E28">
        <v>93000</v>
      </c>
      <c r="F28">
        <v>11</v>
      </c>
      <c r="G28">
        <v>5</v>
      </c>
      <c r="H28" s="1">
        <v>42234</v>
      </c>
      <c r="I28">
        <v>41</v>
      </c>
      <c r="J28">
        <v>910000</v>
      </c>
      <c r="K28" t="s">
        <v>4</v>
      </c>
    </row>
    <row r="29" spans="1:11" x14ac:dyDescent="0.3">
      <c r="A29" t="s">
        <v>68</v>
      </c>
      <c r="B29" t="s">
        <v>69</v>
      </c>
      <c r="C29" t="s">
        <v>7</v>
      </c>
      <c r="D29" t="s">
        <v>15</v>
      </c>
      <c r="E29">
        <v>56000</v>
      </c>
      <c r="F29">
        <v>4</v>
      </c>
      <c r="G29">
        <v>3.5</v>
      </c>
      <c r="H29" s="1">
        <v>44282</v>
      </c>
      <c r="I29">
        <v>29</v>
      </c>
      <c r="J29">
        <v>370000</v>
      </c>
      <c r="K29" t="s">
        <v>4</v>
      </c>
    </row>
    <row r="30" spans="1:11" x14ac:dyDescent="0.3">
      <c r="A30" t="s">
        <v>70</v>
      </c>
      <c r="B30" t="s">
        <v>71</v>
      </c>
      <c r="C30" t="s">
        <v>2</v>
      </c>
      <c r="D30" t="s">
        <v>8</v>
      </c>
      <c r="E30">
        <v>62000</v>
      </c>
      <c r="F30">
        <v>5</v>
      </c>
      <c r="G30">
        <v>4</v>
      </c>
      <c r="H30" s="1">
        <v>44174</v>
      </c>
      <c r="I30">
        <v>30</v>
      </c>
      <c r="J30">
        <v>480000</v>
      </c>
      <c r="K30" t="s">
        <v>27</v>
      </c>
    </row>
    <row r="31" spans="1:11" x14ac:dyDescent="0.3">
      <c r="A31" t="s">
        <v>72</v>
      </c>
      <c r="B31" t="s">
        <v>73</v>
      </c>
      <c r="C31" t="s">
        <v>14</v>
      </c>
      <c r="D31" t="s">
        <v>19</v>
      </c>
      <c r="E31">
        <v>71000</v>
      </c>
      <c r="F31">
        <v>7</v>
      </c>
      <c r="G31">
        <v>4.5</v>
      </c>
      <c r="H31" s="1">
        <v>43297</v>
      </c>
      <c r="I31">
        <v>34</v>
      </c>
      <c r="J31">
        <v>690000</v>
      </c>
      <c r="K31" t="s">
        <v>4</v>
      </c>
    </row>
    <row r="32" spans="1:11" x14ac:dyDescent="0.3">
      <c r="A32" t="s">
        <v>74</v>
      </c>
      <c r="B32" t="s">
        <v>75</v>
      </c>
      <c r="C32" t="s">
        <v>11</v>
      </c>
      <c r="D32" t="s">
        <v>3</v>
      </c>
      <c r="E32">
        <v>39000</v>
      </c>
      <c r="F32">
        <v>2</v>
      </c>
      <c r="G32">
        <v>3</v>
      </c>
      <c r="H32" s="1">
        <v>44950</v>
      </c>
      <c r="I32">
        <v>25</v>
      </c>
      <c r="J32">
        <v>190000</v>
      </c>
      <c r="K32" t="s">
        <v>4</v>
      </c>
    </row>
    <row r="33" spans="1:11" x14ac:dyDescent="0.3">
      <c r="A33" t="s">
        <v>76</v>
      </c>
      <c r="B33" t="s">
        <v>77</v>
      </c>
      <c r="C33" t="s">
        <v>18</v>
      </c>
      <c r="D33" t="s">
        <v>15</v>
      </c>
      <c r="E33">
        <v>54000</v>
      </c>
      <c r="F33">
        <v>4</v>
      </c>
      <c r="G33">
        <v>3.5</v>
      </c>
      <c r="H33" s="1">
        <v>44452</v>
      </c>
      <c r="I33">
        <v>28</v>
      </c>
      <c r="J33">
        <v>430000</v>
      </c>
      <c r="K33" t="s">
        <v>4</v>
      </c>
    </row>
    <row r="34" spans="1:11" x14ac:dyDescent="0.3">
      <c r="A34" t="s">
        <v>78</v>
      </c>
      <c r="B34" t="s">
        <v>79</v>
      </c>
      <c r="C34" t="s">
        <v>22</v>
      </c>
      <c r="D34" t="s">
        <v>8</v>
      </c>
      <c r="E34">
        <v>102000</v>
      </c>
      <c r="F34">
        <v>10</v>
      </c>
      <c r="G34">
        <v>5</v>
      </c>
      <c r="H34" s="1">
        <v>42526</v>
      </c>
      <c r="I34">
        <v>40</v>
      </c>
      <c r="J34">
        <v>950000</v>
      </c>
      <c r="K34" t="s">
        <v>4</v>
      </c>
    </row>
    <row r="35" spans="1:11" x14ac:dyDescent="0.3">
      <c r="A35" t="s">
        <v>80</v>
      </c>
      <c r="B35" t="s">
        <v>81</v>
      </c>
      <c r="C35" t="s">
        <v>7</v>
      </c>
      <c r="D35" t="s">
        <v>19</v>
      </c>
      <c r="E35">
        <v>61000</v>
      </c>
      <c r="F35">
        <v>6</v>
      </c>
      <c r="G35">
        <v>4</v>
      </c>
      <c r="H35" s="1">
        <v>43790</v>
      </c>
      <c r="I35">
        <v>32</v>
      </c>
      <c r="J35">
        <v>440000</v>
      </c>
      <c r="K35" t="s">
        <v>4</v>
      </c>
    </row>
    <row r="36" spans="1:11" x14ac:dyDescent="0.3">
      <c r="A36" t="s">
        <v>82</v>
      </c>
      <c r="B36" t="s">
        <v>83</v>
      </c>
      <c r="C36" t="s">
        <v>25</v>
      </c>
      <c r="D36" t="s">
        <v>26</v>
      </c>
      <c r="E36">
        <v>46000</v>
      </c>
      <c r="F36">
        <v>3</v>
      </c>
      <c r="G36">
        <v>3</v>
      </c>
      <c r="H36" s="1">
        <v>44659</v>
      </c>
      <c r="I36">
        <v>27</v>
      </c>
      <c r="J36">
        <v>270000</v>
      </c>
      <c r="K36" t="s">
        <v>4</v>
      </c>
    </row>
    <row r="37" spans="1:11" x14ac:dyDescent="0.3">
      <c r="A37" t="s">
        <v>84</v>
      </c>
      <c r="B37" t="s">
        <v>85</v>
      </c>
      <c r="C37" t="s">
        <v>2</v>
      </c>
      <c r="D37" t="s">
        <v>3</v>
      </c>
      <c r="E37">
        <v>73000</v>
      </c>
      <c r="F37">
        <v>8</v>
      </c>
      <c r="G37">
        <v>4.5</v>
      </c>
      <c r="H37" s="1">
        <v>43117</v>
      </c>
      <c r="I37">
        <v>35</v>
      </c>
      <c r="J37">
        <v>650000</v>
      </c>
      <c r="K37" t="s">
        <v>4</v>
      </c>
    </row>
    <row r="38" spans="1:11" x14ac:dyDescent="0.3">
      <c r="A38" t="s">
        <v>86</v>
      </c>
      <c r="B38" t="s">
        <v>87</v>
      </c>
      <c r="C38" t="s">
        <v>14</v>
      </c>
      <c r="D38" t="s">
        <v>15</v>
      </c>
      <c r="E38">
        <v>84000</v>
      </c>
      <c r="F38">
        <v>9</v>
      </c>
      <c r="G38">
        <v>5</v>
      </c>
      <c r="H38" s="1">
        <v>42884</v>
      </c>
      <c r="I38">
        <v>38</v>
      </c>
      <c r="J38">
        <v>890000</v>
      </c>
      <c r="K38" t="s">
        <v>4</v>
      </c>
    </row>
    <row r="39" spans="1:11" x14ac:dyDescent="0.3">
      <c r="A39" t="s">
        <v>88</v>
      </c>
      <c r="B39" t="s">
        <v>89</v>
      </c>
      <c r="C39" t="s">
        <v>11</v>
      </c>
      <c r="D39" t="s">
        <v>8</v>
      </c>
      <c r="E39">
        <v>41000</v>
      </c>
      <c r="F39">
        <v>2</v>
      </c>
      <c r="G39">
        <v>3.5</v>
      </c>
      <c r="H39" s="1">
        <v>44787</v>
      </c>
      <c r="I39">
        <v>26</v>
      </c>
      <c r="J39">
        <v>220000</v>
      </c>
      <c r="K39" t="s">
        <v>4</v>
      </c>
    </row>
    <row r="40" spans="1:11" x14ac:dyDescent="0.3">
      <c r="A40" t="s">
        <v>90</v>
      </c>
      <c r="B40" t="s">
        <v>91</v>
      </c>
      <c r="C40" t="s">
        <v>18</v>
      </c>
      <c r="D40" t="s">
        <v>19</v>
      </c>
      <c r="E40">
        <v>69000</v>
      </c>
      <c r="F40">
        <v>6</v>
      </c>
      <c r="G40">
        <v>4</v>
      </c>
      <c r="H40" s="1">
        <v>43740</v>
      </c>
      <c r="I40">
        <v>33</v>
      </c>
      <c r="J40">
        <v>540000</v>
      </c>
      <c r="K40" t="s">
        <v>4</v>
      </c>
    </row>
    <row r="41" spans="1:11" x14ac:dyDescent="0.3">
      <c r="A41" t="s">
        <v>92</v>
      </c>
      <c r="B41" t="s">
        <v>93</v>
      </c>
      <c r="C41" t="s">
        <v>22</v>
      </c>
      <c r="D41" t="s">
        <v>3</v>
      </c>
      <c r="E41">
        <v>97000</v>
      </c>
      <c r="F41">
        <v>12</v>
      </c>
      <c r="G41">
        <v>5</v>
      </c>
      <c r="H41" s="1">
        <v>41709</v>
      </c>
      <c r="I41">
        <v>43</v>
      </c>
      <c r="J41">
        <v>970000</v>
      </c>
      <c r="K41" t="s">
        <v>4</v>
      </c>
    </row>
    <row r="42" spans="1:11" x14ac:dyDescent="0.3">
      <c r="A42" t="s">
        <v>94</v>
      </c>
      <c r="B42" t="s">
        <v>95</v>
      </c>
      <c r="C42" t="s">
        <v>7</v>
      </c>
      <c r="D42" t="s">
        <v>26</v>
      </c>
      <c r="E42">
        <v>50000</v>
      </c>
      <c r="F42">
        <v>4</v>
      </c>
      <c r="G42">
        <v>3.5</v>
      </c>
      <c r="H42" s="1">
        <v>44366</v>
      </c>
      <c r="I42">
        <v>29</v>
      </c>
      <c r="J42">
        <v>330000</v>
      </c>
      <c r="K42" t="s">
        <v>4</v>
      </c>
    </row>
    <row r="43" spans="1:11" x14ac:dyDescent="0.3">
      <c r="A43" t="s">
        <v>96</v>
      </c>
      <c r="B43" t="s">
        <v>97</v>
      </c>
      <c r="C43" t="s">
        <v>2</v>
      </c>
      <c r="D43" t="s">
        <v>15</v>
      </c>
      <c r="E43">
        <v>64000</v>
      </c>
      <c r="F43">
        <v>5</v>
      </c>
      <c r="G43">
        <v>4</v>
      </c>
      <c r="H43" s="1">
        <v>43887</v>
      </c>
      <c r="I43">
        <v>31</v>
      </c>
      <c r="J43">
        <v>510000</v>
      </c>
      <c r="K43" t="s">
        <v>4</v>
      </c>
    </row>
    <row r="44" spans="1:11" x14ac:dyDescent="0.3">
      <c r="A44" t="s">
        <v>98</v>
      </c>
      <c r="B44" t="s">
        <v>99</v>
      </c>
      <c r="C44" t="s">
        <v>14</v>
      </c>
      <c r="D44" t="s">
        <v>3</v>
      </c>
      <c r="E44">
        <v>76000</v>
      </c>
      <c r="F44">
        <v>7</v>
      </c>
      <c r="G44">
        <v>4.5</v>
      </c>
      <c r="H44" s="1">
        <v>43288</v>
      </c>
      <c r="I44">
        <v>35</v>
      </c>
      <c r="J44">
        <v>720000</v>
      </c>
      <c r="K44" t="s">
        <v>4</v>
      </c>
    </row>
    <row r="45" spans="1:11" x14ac:dyDescent="0.3">
      <c r="A45" t="s">
        <v>100</v>
      </c>
      <c r="B45" t="s">
        <v>101</v>
      </c>
      <c r="C45" t="s">
        <v>11</v>
      </c>
      <c r="D45" t="s">
        <v>19</v>
      </c>
      <c r="E45">
        <v>37000</v>
      </c>
      <c r="F45">
        <v>2</v>
      </c>
      <c r="G45">
        <v>3</v>
      </c>
      <c r="H45" s="1">
        <v>44910</v>
      </c>
      <c r="I45">
        <v>25</v>
      </c>
      <c r="J45">
        <v>175000</v>
      </c>
      <c r="K45" t="s">
        <v>4</v>
      </c>
    </row>
    <row r="46" spans="1:11" x14ac:dyDescent="0.3">
      <c r="A46" t="s">
        <v>102</v>
      </c>
      <c r="B46" t="s">
        <v>103</v>
      </c>
      <c r="C46" t="s">
        <v>25</v>
      </c>
      <c r="D46" t="s">
        <v>8</v>
      </c>
      <c r="E46">
        <v>53000</v>
      </c>
      <c r="F46">
        <v>5</v>
      </c>
      <c r="G46">
        <v>4</v>
      </c>
      <c r="H46" s="1">
        <v>44097</v>
      </c>
      <c r="I46">
        <v>30</v>
      </c>
      <c r="J46">
        <v>360000</v>
      </c>
      <c r="K46" t="s">
        <v>4</v>
      </c>
    </row>
    <row r="47" spans="1:11" x14ac:dyDescent="0.3">
      <c r="A47" t="s">
        <v>104</v>
      </c>
      <c r="B47" t="s">
        <v>105</v>
      </c>
      <c r="C47" t="s">
        <v>18</v>
      </c>
      <c r="D47" t="s">
        <v>3</v>
      </c>
      <c r="E47">
        <v>74000</v>
      </c>
      <c r="F47">
        <v>8</v>
      </c>
      <c r="G47">
        <v>4.5</v>
      </c>
      <c r="H47" s="1">
        <v>43194</v>
      </c>
      <c r="I47">
        <v>36</v>
      </c>
      <c r="J47">
        <v>640000</v>
      </c>
      <c r="K47" t="s">
        <v>4</v>
      </c>
    </row>
    <row r="48" spans="1:11" x14ac:dyDescent="0.3">
      <c r="A48" t="s">
        <v>106</v>
      </c>
      <c r="B48" t="s">
        <v>107</v>
      </c>
      <c r="C48" t="s">
        <v>22</v>
      </c>
      <c r="D48" t="s">
        <v>15</v>
      </c>
      <c r="E48">
        <v>89000</v>
      </c>
      <c r="F48">
        <v>9</v>
      </c>
      <c r="G48">
        <v>5</v>
      </c>
      <c r="H48" s="1">
        <v>43026</v>
      </c>
      <c r="I48">
        <v>38</v>
      </c>
      <c r="J48">
        <v>860000</v>
      </c>
      <c r="K48" t="s">
        <v>4</v>
      </c>
    </row>
    <row r="49" spans="1:11" x14ac:dyDescent="0.3">
      <c r="A49" t="s">
        <v>108</v>
      </c>
      <c r="B49" t="s">
        <v>109</v>
      </c>
      <c r="C49" t="s">
        <v>7</v>
      </c>
      <c r="D49" t="s">
        <v>8</v>
      </c>
      <c r="E49">
        <v>57000</v>
      </c>
      <c r="F49">
        <v>3</v>
      </c>
      <c r="G49">
        <v>3.5</v>
      </c>
      <c r="H49" s="1">
        <v>44570</v>
      </c>
      <c r="I49">
        <v>27</v>
      </c>
      <c r="J49">
        <v>380000</v>
      </c>
      <c r="K49" t="s">
        <v>4</v>
      </c>
    </row>
    <row r="50" spans="1:11" x14ac:dyDescent="0.3">
      <c r="A50" t="s">
        <v>110</v>
      </c>
      <c r="B50" t="s">
        <v>111</v>
      </c>
      <c r="C50" t="s">
        <v>2</v>
      </c>
      <c r="D50" t="s">
        <v>19</v>
      </c>
      <c r="E50">
        <v>82000</v>
      </c>
      <c r="F50">
        <v>7</v>
      </c>
      <c r="G50">
        <v>4.5</v>
      </c>
      <c r="H50" s="1">
        <v>43612</v>
      </c>
      <c r="I50">
        <v>34</v>
      </c>
      <c r="J50">
        <v>700000</v>
      </c>
      <c r="K50" t="s">
        <v>4</v>
      </c>
    </row>
    <row r="51" spans="1:11" x14ac:dyDescent="0.3">
      <c r="A51" t="s">
        <v>112</v>
      </c>
      <c r="B51" t="s">
        <v>113</v>
      </c>
      <c r="C51" t="s">
        <v>14</v>
      </c>
      <c r="D51" t="s">
        <v>26</v>
      </c>
      <c r="E51">
        <v>66000</v>
      </c>
      <c r="F51">
        <v>6</v>
      </c>
      <c r="G51">
        <v>4</v>
      </c>
      <c r="H51" s="1">
        <v>43690</v>
      </c>
      <c r="I51">
        <v>32</v>
      </c>
      <c r="J51">
        <v>590000</v>
      </c>
      <c r="K51" t="s">
        <v>4</v>
      </c>
    </row>
    <row r="52" spans="1:11" x14ac:dyDescent="0.3">
      <c r="A52" t="s">
        <v>114</v>
      </c>
      <c r="B52" t="s">
        <v>115</v>
      </c>
      <c r="C52" t="s">
        <v>11</v>
      </c>
      <c r="D52" t="s">
        <v>3</v>
      </c>
      <c r="E52">
        <v>44000</v>
      </c>
      <c r="F52">
        <v>3</v>
      </c>
      <c r="G52">
        <v>3</v>
      </c>
      <c r="H52" s="1">
        <v>44275</v>
      </c>
      <c r="I52">
        <v>28</v>
      </c>
      <c r="J52">
        <v>205000</v>
      </c>
      <c r="K52" t="s">
        <v>4</v>
      </c>
    </row>
    <row r="53" spans="1:11" x14ac:dyDescent="0.3">
      <c r="A53" t="s">
        <v>116</v>
      </c>
      <c r="B53" t="s">
        <v>117</v>
      </c>
      <c r="C53" t="s">
        <v>18</v>
      </c>
      <c r="D53" t="s">
        <v>15</v>
      </c>
      <c r="E53">
        <v>60000</v>
      </c>
      <c r="F53">
        <v>5</v>
      </c>
      <c r="G53">
        <v>4</v>
      </c>
      <c r="H53" s="1">
        <v>44141</v>
      </c>
      <c r="I53">
        <v>31</v>
      </c>
      <c r="J53">
        <v>470000</v>
      </c>
      <c r="K53" t="s">
        <v>4</v>
      </c>
    </row>
    <row r="54" spans="1:11" x14ac:dyDescent="0.3">
      <c r="A54" t="s">
        <v>118</v>
      </c>
      <c r="B54" t="s">
        <v>119</v>
      </c>
      <c r="C54" t="s">
        <v>22</v>
      </c>
      <c r="D54" t="s">
        <v>8</v>
      </c>
      <c r="E54">
        <v>108000</v>
      </c>
      <c r="F54">
        <v>11</v>
      </c>
      <c r="G54">
        <v>5</v>
      </c>
      <c r="H54" s="1">
        <v>42051</v>
      </c>
      <c r="I54">
        <v>42</v>
      </c>
      <c r="J54">
        <v>990000</v>
      </c>
      <c r="K54" t="s">
        <v>4</v>
      </c>
    </row>
    <row r="55" spans="1:11" x14ac:dyDescent="0.3">
      <c r="A55" t="s">
        <v>120</v>
      </c>
      <c r="B55" t="s">
        <v>121</v>
      </c>
      <c r="C55" t="s">
        <v>7</v>
      </c>
      <c r="D55" t="s">
        <v>19</v>
      </c>
      <c r="E55">
        <v>48000</v>
      </c>
      <c r="F55">
        <v>2</v>
      </c>
      <c r="G55">
        <v>3</v>
      </c>
      <c r="H55" s="1">
        <v>44737</v>
      </c>
      <c r="I55">
        <v>26</v>
      </c>
      <c r="J55">
        <v>310000</v>
      </c>
      <c r="K55" t="s">
        <v>4</v>
      </c>
    </row>
    <row r="56" spans="1:11" x14ac:dyDescent="0.3">
      <c r="A56" t="s">
        <v>122</v>
      </c>
      <c r="B56" t="s">
        <v>123</v>
      </c>
      <c r="C56" t="s">
        <v>25</v>
      </c>
      <c r="D56" t="s">
        <v>26</v>
      </c>
      <c r="E56">
        <v>51000</v>
      </c>
      <c r="F56">
        <v>4</v>
      </c>
      <c r="G56">
        <v>3.5</v>
      </c>
      <c r="H56" s="1">
        <v>44447</v>
      </c>
      <c r="I56">
        <v>29</v>
      </c>
      <c r="J56">
        <v>295000</v>
      </c>
      <c r="K56" t="s">
        <v>27</v>
      </c>
    </row>
    <row r="57" spans="1:11" x14ac:dyDescent="0.3">
      <c r="A57" t="s">
        <v>124</v>
      </c>
      <c r="B57" t="s">
        <v>125</v>
      </c>
      <c r="C57" t="s">
        <v>2</v>
      </c>
      <c r="D57" t="s">
        <v>3</v>
      </c>
      <c r="E57">
        <v>70000</v>
      </c>
      <c r="F57">
        <v>6</v>
      </c>
      <c r="G57">
        <v>4.5</v>
      </c>
      <c r="H57" s="1">
        <v>43572</v>
      </c>
      <c r="I57">
        <v>33</v>
      </c>
      <c r="J57">
        <v>610000</v>
      </c>
      <c r="K57" t="s">
        <v>4</v>
      </c>
    </row>
    <row r="58" spans="1:11" x14ac:dyDescent="0.3">
      <c r="A58" t="s">
        <v>126</v>
      </c>
      <c r="B58" t="s">
        <v>127</v>
      </c>
      <c r="C58" t="s">
        <v>14</v>
      </c>
      <c r="D58" t="s">
        <v>15</v>
      </c>
      <c r="E58">
        <v>91000</v>
      </c>
      <c r="F58">
        <v>10</v>
      </c>
      <c r="G58">
        <v>5</v>
      </c>
      <c r="H58" s="1">
        <v>42391</v>
      </c>
      <c r="I58">
        <v>40</v>
      </c>
      <c r="J58">
        <v>930000</v>
      </c>
      <c r="K58" t="s">
        <v>4</v>
      </c>
    </row>
    <row r="59" spans="1:11" x14ac:dyDescent="0.3">
      <c r="A59" t="s">
        <v>128</v>
      </c>
      <c r="B59" t="s">
        <v>129</v>
      </c>
      <c r="C59" t="s">
        <v>11</v>
      </c>
      <c r="D59" t="s">
        <v>8</v>
      </c>
      <c r="E59">
        <v>35000</v>
      </c>
      <c r="F59">
        <v>1</v>
      </c>
      <c r="G59">
        <v>2.5</v>
      </c>
      <c r="H59" s="1">
        <v>45119</v>
      </c>
      <c r="I59">
        <v>23</v>
      </c>
      <c r="J59">
        <v>140000</v>
      </c>
      <c r="K59" t="s">
        <v>4</v>
      </c>
    </row>
    <row r="60" spans="1:11" x14ac:dyDescent="0.3">
      <c r="A60" t="s">
        <v>130</v>
      </c>
      <c r="B60" t="s">
        <v>131</v>
      </c>
      <c r="C60" t="s">
        <v>18</v>
      </c>
      <c r="D60" t="s">
        <v>19</v>
      </c>
      <c r="E60">
        <v>68000</v>
      </c>
      <c r="F60">
        <v>7</v>
      </c>
      <c r="G60">
        <v>4</v>
      </c>
      <c r="H60" s="1">
        <v>43373</v>
      </c>
      <c r="I60">
        <v>35</v>
      </c>
      <c r="J60">
        <v>550000</v>
      </c>
      <c r="K60" t="s">
        <v>4</v>
      </c>
    </row>
    <row r="61" spans="1:11" x14ac:dyDescent="0.3">
      <c r="A61" t="s">
        <v>132</v>
      </c>
      <c r="B61" t="s">
        <v>133</v>
      </c>
      <c r="C61" t="s">
        <v>22</v>
      </c>
      <c r="D61" t="s">
        <v>3</v>
      </c>
      <c r="E61">
        <v>86000</v>
      </c>
      <c r="F61">
        <v>8</v>
      </c>
      <c r="G61">
        <v>4.5</v>
      </c>
      <c r="H61" s="1">
        <v>43234</v>
      </c>
      <c r="I61">
        <v>37</v>
      </c>
      <c r="J61">
        <v>780000</v>
      </c>
      <c r="K61" t="s">
        <v>4</v>
      </c>
    </row>
    <row r="62" spans="1:11" x14ac:dyDescent="0.3">
      <c r="A62" t="s">
        <v>134</v>
      </c>
      <c r="B62" t="s">
        <v>135</v>
      </c>
      <c r="C62" t="s">
        <v>7</v>
      </c>
      <c r="D62" t="s">
        <v>26</v>
      </c>
      <c r="E62">
        <v>55000</v>
      </c>
      <c r="F62">
        <v>5</v>
      </c>
      <c r="G62">
        <v>3.5</v>
      </c>
      <c r="H62" s="1">
        <v>44123</v>
      </c>
      <c r="I62">
        <v>31</v>
      </c>
      <c r="J62">
        <v>400000</v>
      </c>
      <c r="K62" t="s">
        <v>4</v>
      </c>
    </row>
    <row r="63" spans="1:11" x14ac:dyDescent="0.3">
      <c r="A63" t="s">
        <v>136</v>
      </c>
      <c r="B63" t="s">
        <v>137</v>
      </c>
      <c r="C63" t="s">
        <v>2</v>
      </c>
      <c r="D63" t="s">
        <v>15</v>
      </c>
      <c r="E63">
        <v>79000</v>
      </c>
      <c r="F63">
        <v>8</v>
      </c>
      <c r="G63">
        <v>4.5</v>
      </c>
      <c r="H63" s="1">
        <v>42801</v>
      </c>
      <c r="I63">
        <v>36</v>
      </c>
      <c r="J63">
        <v>680000</v>
      </c>
      <c r="K63" t="s">
        <v>4</v>
      </c>
    </row>
    <row r="64" spans="1:11" x14ac:dyDescent="0.3">
      <c r="A64" t="s">
        <v>138</v>
      </c>
      <c r="B64" t="s">
        <v>139</v>
      </c>
      <c r="C64" t="s">
        <v>14</v>
      </c>
      <c r="D64" t="s">
        <v>3</v>
      </c>
      <c r="E64">
        <v>62000</v>
      </c>
      <c r="F64">
        <v>4</v>
      </c>
      <c r="G64">
        <v>4</v>
      </c>
      <c r="H64" s="1">
        <v>44424</v>
      </c>
      <c r="I64">
        <v>29</v>
      </c>
      <c r="J64">
        <v>530000</v>
      </c>
      <c r="K64" t="s">
        <v>4</v>
      </c>
    </row>
    <row r="65" spans="1:11" x14ac:dyDescent="0.3">
      <c r="A65" t="s">
        <v>140</v>
      </c>
      <c r="B65" t="s">
        <v>141</v>
      </c>
      <c r="C65" t="s">
        <v>11</v>
      </c>
      <c r="D65" t="s">
        <v>19</v>
      </c>
      <c r="E65">
        <v>45000</v>
      </c>
      <c r="F65">
        <v>3</v>
      </c>
      <c r="G65">
        <v>3</v>
      </c>
      <c r="H65" s="1">
        <v>44524</v>
      </c>
      <c r="I65">
        <v>27</v>
      </c>
      <c r="J65">
        <v>230000</v>
      </c>
      <c r="K65" t="s">
        <v>4</v>
      </c>
    </row>
    <row r="66" spans="1:11" x14ac:dyDescent="0.3">
      <c r="A66" t="s">
        <v>142</v>
      </c>
      <c r="B66" t="s">
        <v>143</v>
      </c>
      <c r="C66" t="s">
        <v>25</v>
      </c>
      <c r="D66" t="s">
        <v>8</v>
      </c>
      <c r="E66">
        <v>58000</v>
      </c>
      <c r="F66">
        <v>6</v>
      </c>
      <c r="G66">
        <v>4</v>
      </c>
      <c r="H66" s="1">
        <v>43501</v>
      </c>
      <c r="I66">
        <v>33</v>
      </c>
      <c r="J66">
        <v>420000</v>
      </c>
      <c r="K66" t="s">
        <v>4</v>
      </c>
    </row>
    <row r="67" spans="1:11" x14ac:dyDescent="0.3">
      <c r="A67" t="s">
        <v>144</v>
      </c>
      <c r="B67" t="s">
        <v>145</v>
      </c>
      <c r="C67" t="s">
        <v>18</v>
      </c>
      <c r="D67" t="s">
        <v>3</v>
      </c>
      <c r="E67">
        <v>77000</v>
      </c>
      <c r="F67">
        <v>9</v>
      </c>
      <c r="G67">
        <v>4.5</v>
      </c>
      <c r="H67" s="1">
        <v>42897</v>
      </c>
      <c r="I67">
        <v>37</v>
      </c>
      <c r="J67">
        <v>670000</v>
      </c>
      <c r="K67" t="s">
        <v>4</v>
      </c>
    </row>
    <row r="68" spans="1:11" x14ac:dyDescent="0.3">
      <c r="A68" t="s">
        <v>146</v>
      </c>
      <c r="B68" t="s">
        <v>147</v>
      </c>
      <c r="C68" t="s">
        <v>22</v>
      </c>
      <c r="D68" t="s">
        <v>15</v>
      </c>
      <c r="E68">
        <v>99000</v>
      </c>
      <c r="F68">
        <v>10</v>
      </c>
      <c r="G68">
        <v>5</v>
      </c>
      <c r="H68" s="1">
        <v>42610</v>
      </c>
      <c r="I68">
        <v>41</v>
      </c>
      <c r="J68">
        <v>940000</v>
      </c>
      <c r="K68" t="s">
        <v>4</v>
      </c>
    </row>
    <row r="69" spans="1:11" x14ac:dyDescent="0.3">
      <c r="A69" t="s">
        <v>148</v>
      </c>
      <c r="B69" t="s">
        <v>149</v>
      </c>
      <c r="C69" t="s">
        <v>7</v>
      </c>
      <c r="D69" t="s">
        <v>8</v>
      </c>
      <c r="E69">
        <v>53000</v>
      </c>
      <c r="F69">
        <v>4</v>
      </c>
      <c r="G69">
        <v>3.5</v>
      </c>
      <c r="H69" s="1">
        <v>44178</v>
      </c>
      <c r="I69">
        <v>30</v>
      </c>
      <c r="J69">
        <v>360000</v>
      </c>
      <c r="K69" t="s">
        <v>4</v>
      </c>
    </row>
    <row r="70" spans="1:11" x14ac:dyDescent="0.3">
      <c r="A70" t="s">
        <v>150</v>
      </c>
      <c r="B70" t="s">
        <v>151</v>
      </c>
      <c r="C70" t="s">
        <v>2</v>
      </c>
      <c r="D70" t="s">
        <v>19</v>
      </c>
      <c r="E70">
        <v>87000</v>
      </c>
      <c r="F70">
        <v>9</v>
      </c>
      <c r="G70">
        <v>5</v>
      </c>
      <c r="H70" s="1">
        <v>42481</v>
      </c>
      <c r="I70">
        <v>39</v>
      </c>
      <c r="J70">
        <v>810000</v>
      </c>
      <c r="K70" t="s">
        <v>4</v>
      </c>
    </row>
    <row r="71" spans="1:11" x14ac:dyDescent="0.3">
      <c r="A71" t="s">
        <v>152</v>
      </c>
      <c r="B71" t="s">
        <v>153</v>
      </c>
      <c r="C71" t="s">
        <v>14</v>
      </c>
      <c r="D71" t="s">
        <v>26</v>
      </c>
      <c r="E71">
        <v>73000</v>
      </c>
      <c r="F71">
        <v>7</v>
      </c>
      <c r="G71">
        <v>4.5</v>
      </c>
      <c r="H71" s="1">
        <v>43382</v>
      </c>
      <c r="I71">
        <v>35</v>
      </c>
      <c r="J71">
        <v>750000</v>
      </c>
      <c r="K71" t="s">
        <v>4</v>
      </c>
    </row>
    <row r="72" spans="1:11" x14ac:dyDescent="0.3">
      <c r="A72" t="s">
        <v>154</v>
      </c>
      <c r="B72" t="s">
        <v>155</v>
      </c>
      <c r="C72" t="s">
        <v>11</v>
      </c>
      <c r="D72" t="s">
        <v>3</v>
      </c>
      <c r="E72">
        <v>40000</v>
      </c>
      <c r="F72">
        <v>2</v>
      </c>
      <c r="G72">
        <v>3</v>
      </c>
      <c r="H72" s="1">
        <v>44943</v>
      </c>
      <c r="I72">
        <v>25</v>
      </c>
      <c r="J72">
        <v>200000</v>
      </c>
      <c r="K72" t="s">
        <v>4</v>
      </c>
    </row>
    <row r="73" spans="1:11" x14ac:dyDescent="0.3">
      <c r="A73" t="s">
        <v>156</v>
      </c>
      <c r="B73" t="s">
        <v>157</v>
      </c>
      <c r="C73" t="s">
        <v>18</v>
      </c>
      <c r="D73" t="s">
        <v>15</v>
      </c>
      <c r="E73">
        <v>65000</v>
      </c>
      <c r="F73">
        <v>5</v>
      </c>
      <c r="G73">
        <v>4</v>
      </c>
      <c r="H73" s="1">
        <v>44015</v>
      </c>
      <c r="I73">
        <v>31</v>
      </c>
      <c r="J73">
        <v>490000</v>
      </c>
      <c r="K73" t="s">
        <v>4</v>
      </c>
    </row>
    <row r="74" spans="1:11" x14ac:dyDescent="0.3">
      <c r="A74" t="s">
        <v>158</v>
      </c>
      <c r="B74" t="s">
        <v>159</v>
      </c>
      <c r="C74" t="s">
        <v>22</v>
      </c>
      <c r="D74" t="s">
        <v>8</v>
      </c>
      <c r="E74">
        <v>112000</v>
      </c>
      <c r="F74">
        <v>13</v>
      </c>
      <c r="G74">
        <v>5</v>
      </c>
      <c r="H74" s="1">
        <v>41685</v>
      </c>
      <c r="I74">
        <v>44</v>
      </c>
      <c r="J74">
        <v>1000000</v>
      </c>
      <c r="K74" t="s">
        <v>4</v>
      </c>
    </row>
    <row r="75" spans="1:11" x14ac:dyDescent="0.3">
      <c r="A75" t="s">
        <v>160</v>
      </c>
      <c r="B75" t="s">
        <v>161</v>
      </c>
      <c r="C75" t="s">
        <v>7</v>
      </c>
      <c r="D75" t="s">
        <v>19</v>
      </c>
      <c r="E75">
        <v>59000</v>
      </c>
      <c r="F75">
        <v>6</v>
      </c>
      <c r="G75">
        <v>4</v>
      </c>
      <c r="H75" s="1">
        <v>43734</v>
      </c>
      <c r="I75">
        <v>32</v>
      </c>
      <c r="J75">
        <v>430000</v>
      </c>
      <c r="K75" t="s">
        <v>4</v>
      </c>
    </row>
    <row r="76" spans="1:11" x14ac:dyDescent="0.3">
      <c r="A76" t="s">
        <v>162</v>
      </c>
      <c r="B76" t="s">
        <v>163</v>
      </c>
      <c r="C76" t="s">
        <v>25</v>
      </c>
      <c r="D76" t="s">
        <v>26</v>
      </c>
      <c r="E76">
        <v>47000</v>
      </c>
      <c r="F76">
        <v>3</v>
      </c>
      <c r="G76">
        <v>3.5</v>
      </c>
      <c r="H76" s="1">
        <v>44689</v>
      </c>
      <c r="I76">
        <v>27</v>
      </c>
      <c r="J76">
        <v>260000</v>
      </c>
      <c r="K76" t="s">
        <v>4</v>
      </c>
    </row>
    <row r="77" spans="1:11" x14ac:dyDescent="0.3">
      <c r="A77" t="s">
        <v>164</v>
      </c>
      <c r="B77" t="s">
        <v>165</v>
      </c>
      <c r="C77" t="s">
        <v>2</v>
      </c>
      <c r="D77" t="s">
        <v>3</v>
      </c>
      <c r="E77">
        <v>71000</v>
      </c>
      <c r="F77">
        <v>7</v>
      </c>
      <c r="G77">
        <v>4.5</v>
      </c>
      <c r="H77" s="1">
        <v>43453</v>
      </c>
      <c r="I77">
        <v>34</v>
      </c>
      <c r="J77">
        <v>630000</v>
      </c>
      <c r="K77" t="s">
        <v>4</v>
      </c>
    </row>
    <row r="78" spans="1:11" x14ac:dyDescent="0.3">
      <c r="A78" t="s">
        <v>166</v>
      </c>
      <c r="B78" t="s">
        <v>48</v>
      </c>
      <c r="C78" t="s">
        <v>14</v>
      </c>
      <c r="D78" t="s">
        <v>15</v>
      </c>
      <c r="E78">
        <v>83000</v>
      </c>
      <c r="F78">
        <v>9</v>
      </c>
      <c r="G78">
        <v>5</v>
      </c>
      <c r="H78" s="1">
        <v>42900</v>
      </c>
      <c r="I78">
        <v>38</v>
      </c>
      <c r="J78">
        <v>870000</v>
      </c>
      <c r="K78" t="s">
        <v>4</v>
      </c>
    </row>
    <row r="79" spans="1:11" x14ac:dyDescent="0.3">
      <c r="A79" t="s">
        <v>167</v>
      </c>
      <c r="B79" t="s">
        <v>168</v>
      </c>
      <c r="C79" t="s">
        <v>11</v>
      </c>
      <c r="D79" t="s">
        <v>8</v>
      </c>
      <c r="E79">
        <v>38000</v>
      </c>
      <c r="F79">
        <v>2</v>
      </c>
      <c r="G79">
        <v>3</v>
      </c>
      <c r="H79" s="1">
        <v>45010</v>
      </c>
      <c r="I79">
        <v>24</v>
      </c>
      <c r="J79">
        <v>160000</v>
      </c>
      <c r="K79" t="s">
        <v>4</v>
      </c>
    </row>
    <row r="80" spans="1:11" x14ac:dyDescent="0.3">
      <c r="A80" t="s">
        <v>169</v>
      </c>
      <c r="B80" t="s">
        <v>170</v>
      </c>
      <c r="C80" t="s">
        <v>18</v>
      </c>
      <c r="D80" t="s">
        <v>19</v>
      </c>
      <c r="E80">
        <v>56000</v>
      </c>
      <c r="F80">
        <v>5</v>
      </c>
      <c r="G80">
        <v>4</v>
      </c>
      <c r="H80" s="1">
        <v>44049</v>
      </c>
      <c r="I80">
        <v>30</v>
      </c>
      <c r="J80">
        <v>410000</v>
      </c>
      <c r="K80" t="s">
        <v>4</v>
      </c>
    </row>
    <row r="81" spans="1:11" x14ac:dyDescent="0.3">
      <c r="A81" t="s">
        <v>171</v>
      </c>
      <c r="B81" t="s">
        <v>172</v>
      </c>
      <c r="C81" t="s">
        <v>22</v>
      </c>
      <c r="D81" t="s">
        <v>3</v>
      </c>
      <c r="E81">
        <v>94000</v>
      </c>
      <c r="F81">
        <v>11</v>
      </c>
      <c r="G81">
        <v>5</v>
      </c>
      <c r="H81" s="1">
        <v>42330</v>
      </c>
      <c r="I81">
        <v>42</v>
      </c>
      <c r="J81">
        <v>900000</v>
      </c>
      <c r="K81" t="s">
        <v>4</v>
      </c>
    </row>
    <row r="82" spans="1:11" x14ac:dyDescent="0.3">
      <c r="A82" t="s">
        <v>173</v>
      </c>
      <c r="B82" t="s">
        <v>174</v>
      </c>
      <c r="C82" t="s">
        <v>7</v>
      </c>
      <c r="D82" t="s">
        <v>26</v>
      </c>
      <c r="E82">
        <v>62000</v>
      </c>
      <c r="F82">
        <v>5</v>
      </c>
      <c r="G82">
        <v>4</v>
      </c>
      <c r="H82" s="1">
        <v>43931</v>
      </c>
      <c r="I82">
        <v>31</v>
      </c>
      <c r="J82">
        <v>450000</v>
      </c>
      <c r="K82" t="s">
        <v>4</v>
      </c>
    </row>
    <row r="83" spans="1:11" x14ac:dyDescent="0.3">
      <c r="A83" t="s">
        <v>175</v>
      </c>
      <c r="B83" t="s">
        <v>176</v>
      </c>
      <c r="C83" t="s">
        <v>2</v>
      </c>
      <c r="D83" t="s">
        <v>15</v>
      </c>
      <c r="E83">
        <v>76000</v>
      </c>
      <c r="F83">
        <v>8</v>
      </c>
      <c r="G83">
        <v>4.5</v>
      </c>
      <c r="H83" s="1">
        <v>42996</v>
      </c>
      <c r="I83">
        <v>36</v>
      </c>
      <c r="J83">
        <v>720000</v>
      </c>
      <c r="K83" t="s">
        <v>4</v>
      </c>
    </row>
    <row r="84" spans="1:11" x14ac:dyDescent="0.3">
      <c r="A84" t="s">
        <v>177</v>
      </c>
      <c r="B84" t="s">
        <v>178</v>
      </c>
      <c r="C84" t="s">
        <v>14</v>
      </c>
      <c r="D84" t="s">
        <v>3</v>
      </c>
      <c r="E84">
        <v>69000</v>
      </c>
      <c r="F84">
        <v>6</v>
      </c>
      <c r="G84">
        <v>4</v>
      </c>
      <c r="H84" s="1">
        <v>43492</v>
      </c>
      <c r="I84">
        <v>33</v>
      </c>
      <c r="J84">
        <v>610000</v>
      </c>
      <c r="K84" t="s">
        <v>4</v>
      </c>
    </row>
    <row r="85" spans="1:11" x14ac:dyDescent="0.3">
      <c r="A85" t="s">
        <v>179</v>
      </c>
      <c r="B85" t="s">
        <v>180</v>
      </c>
      <c r="C85" t="s">
        <v>11</v>
      </c>
      <c r="D85" t="s">
        <v>19</v>
      </c>
      <c r="E85">
        <v>42000</v>
      </c>
      <c r="F85">
        <v>3</v>
      </c>
      <c r="G85">
        <v>3.5</v>
      </c>
      <c r="H85" s="1">
        <v>44360</v>
      </c>
      <c r="I85">
        <v>28</v>
      </c>
      <c r="J85">
        <v>215000</v>
      </c>
      <c r="K85" t="s">
        <v>4</v>
      </c>
    </row>
    <row r="86" spans="1:11" x14ac:dyDescent="0.3">
      <c r="A86" t="s">
        <v>181</v>
      </c>
      <c r="B86" t="s">
        <v>182</v>
      </c>
      <c r="C86" t="s">
        <v>25</v>
      </c>
      <c r="D86" t="s">
        <v>8</v>
      </c>
      <c r="E86">
        <v>54000</v>
      </c>
      <c r="F86">
        <v>4</v>
      </c>
      <c r="G86">
        <v>3.5</v>
      </c>
      <c r="H86" s="1">
        <v>44167</v>
      </c>
      <c r="I86">
        <v>29</v>
      </c>
      <c r="J86">
        <v>340000</v>
      </c>
      <c r="K86" t="s">
        <v>4</v>
      </c>
    </row>
    <row r="87" spans="1:11" x14ac:dyDescent="0.3">
      <c r="A87" t="s">
        <v>183</v>
      </c>
      <c r="B87" t="s">
        <v>21</v>
      </c>
      <c r="C87" t="s">
        <v>18</v>
      </c>
      <c r="D87" t="s">
        <v>3</v>
      </c>
      <c r="E87">
        <v>80000</v>
      </c>
      <c r="F87">
        <v>9</v>
      </c>
      <c r="G87">
        <v>4.5</v>
      </c>
      <c r="H87" s="1">
        <v>42871</v>
      </c>
      <c r="I87">
        <v>37</v>
      </c>
      <c r="J87">
        <v>700000</v>
      </c>
      <c r="K87" t="s">
        <v>4</v>
      </c>
    </row>
    <row r="88" spans="1:11" x14ac:dyDescent="0.3">
      <c r="A88" t="s">
        <v>184</v>
      </c>
      <c r="B88" t="s">
        <v>185</v>
      </c>
      <c r="C88" t="s">
        <v>22</v>
      </c>
      <c r="D88" t="s">
        <v>15</v>
      </c>
      <c r="E88">
        <v>105000</v>
      </c>
      <c r="F88">
        <v>12</v>
      </c>
      <c r="G88">
        <v>5</v>
      </c>
      <c r="H88" s="1">
        <v>42245</v>
      </c>
      <c r="I88">
        <v>42</v>
      </c>
      <c r="J88">
        <v>960000</v>
      </c>
      <c r="K88" t="s">
        <v>4</v>
      </c>
    </row>
    <row r="89" spans="1:11" x14ac:dyDescent="0.3">
      <c r="A89" t="s">
        <v>186</v>
      </c>
      <c r="B89" t="s">
        <v>187</v>
      </c>
      <c r="C89" t="s">
        <v>7</v>
      </c>
      <c r="D89" t="s">
        <v>8</v>
      </c>
      <c r="E89">
        <v>51000</v>
      </c>
      <c r="F89">
        <v>3</v>
      </c>
      <c r="G89">
        <v>3.5</v>
      </c>
      <c r="H89" s="1">
        <v>44599</v>
      </c>
      <c r="I89">
        <v>27</v>
      </c>
      <c r="J89">
        <v>320000</v>
      </c>
      <c r="K89" t="s">
        <v>4</v>
      </c>
    </row>
    <row r="90" spans="1:11" x14ac:dyDescent="0.3">
      <c r="A90" t="s">
        <v>188</v>
      </c>
      <c r="B90" t="s">
        <v>189</v>
      </c>
      <c r="C90" t="s">
        <v>2</v>
      </c>
      <c r="D90" t="s">
        <v>19</v>
      </c>
      <c r="E90">
        <v>90000</v>
      </c>
      <c r="F90">
        <v>10</v>
      </c>
      <c r="G90">
        <v>5</v>
      </c>
      <c r="H90" s="1">
        <v>42541</v>
      </c>
      <c r="I90">
        <v>40</v>
      </c>
      <c r="J90">
        <v>850000</v>
      </c>
      <c r="K90" t="s">
        <v>4</v>
      </c>
    </row>
    <row r="91" spans="1:11" x14ac:dyDescent="0.3">
      <c r="A91" t="s">
        <v>190</v>
      </c>
      <c r="B91" t="s">
        <v>191</v>
      </c>
      <c r="C91" t="s">
        <v>14</v>
      </c>
      <c r="D91" t="s">
        <v>26</v>
      </c>
      <c r="E91">
        <v>74000</v>
      </c>
      <c r="F91">
        <v>7</v>
      </c>
      <c r="G91">
        <v>4.5</v>
      </c>
      <c r="H91" s="1">
        <v>43384</v>
      </c>
      <c r="I91">
        <v>35</v>
      </c>
      <c r="J91">
        <v>710000</v>
      </c>
      <c r="K91" t="s">
        <v>4</v>
      </c>
    </row>
    <row r="92" spans="1:11" x14ac:dyDescent="0.3">
      <c r="A92" t="s">
        <v>192</v>
      </c>
      <c r="B92" t="s">
        <v>35</v>
      </c>
      <c r="C92" t="s">
        <v>11</v>
      </c>
      <c r="D92" t="s">
        <v>3</v>
      </c>
      <c r="E92">
        <v>46000</v>
      </c>
      <c r="F92">
        <v>4</v>
      </c>
      <c r="G92">
        <v>3</v>
      </c>
      <c r="H92" s="1">
        <v>44310</v>
      </c>
      <c r="I92">
        <v>29</v>
      </c>
      <c r="J92">
        <v>250000</v>
      </c>
      <c r="K92" t="s">
        <v>4</v>
      </c>
    </row>
    <row r="93" spans="1:11" x14ac:dyDescent="0.3">
      <c r="A93" t="s">
        <v>193</v>
      </c>
      <c r="B93" t="s">
        <v>194</v>
      </c>
      <c r="C93" t="s">
        <v>18</v>
      </c>
      <c r="D93" t="s">
        <v>15</v>
      </c>
      <c r="E93">
        <v>63000</v>
      </c>
      <c r="F93">
        <v>6</v>
      </c>
      <c r="G93">
        <v>4</v>
      </c>
      <c r="H93" s="1">
        <v>43838</v>
      </c>
      <c r="I93">
        <v>32</v>
      </c>
      <c r="J93">
        <v>500000</v>
      </c>
      <c r="K93" t="s">
        <v>4</v>
      </c>
    </row>
    <row r="94" spans="1:11" x14ac:dyDescent="0.3">
      <c r="A94" t="s">
        <v>195</v>
      </c>
      <c r="B94" t="s">
        <v>196</v>
      </c>
      <c r="C94" t="s">
        <v>22</v>
      </c>
      <c r="D94" t="s">
        <v>8</v>
      </c>
      <c r="E94">
        <v>98000</v>
      </c>
      <c r="F94">
        <v>10</v>
      </c>
      <c r="G94">
        <v>5</v>
      </c>
      <c r="H94" s="1">
        <v>42568</v>
      </c>
      <c r="I94">
        <v>41</v>
      </c>
      <c r="J94">
        <v>920000</v>
      </c>
      <c r="K94" t="s">
        <v>4</v>
      </c>
    </row>
    <row r="95" spans="1:11" x14ac:dyDescent="0.3">
      <c r="A95" t="s">
        <v>197</v>
      </c>
      <c r="B95" t="s">
        <v>41</v>
      </c>
      <c r="C95" t="s">
        <v>7</v>
      </c>
      <c r="D95" t="s">
        <v>19</v>
      </c>
      <c r="E95">
        <v>60000</v>
      </c>
      <c r="F95">
        <v>5</v>
      </c>
      <c r="G95">
        <v>4</v>
      </c>
      <c r="H95" s="1">
        <v>44138</v>
      </c>
      <c r="I95">
        <v>30</v>
      </c>
      <c r="J95">
        <v>460000</v>
      </c>
      <c r="K95" t="s">
        <v>4</v>
      </c>
    </row>
    <row r="96" spans="1:11" x14ac:dyDescent="0.3">
      <c r="A96" t="s">
        <v>198</v>
      </c>
      <c r="B96" t="s">
        <v>43</v>
      </c>
      <c r="C96" t="s">
        <v>25</v>
      </c>
      <c r="D96" t="s">
        <v>26</v>
      </c>
      <c r="E96">
        <v>49000</v>
      </c>
      <c r="F96">
        <v>3</v>
      </c>
      <c r="G96">
        <v>3.5</v>
      </c>
      <c r="H96" s="1">
        <v>44607</v>
      </c>
      <c r="I96">
        <v>27</v>
      </c>
      <c r="J96">
        <v>280000</v>
      </c>
      <c r="K96" t="s">
        <v>4</v>
      </c>
    </row>
    <row r="97" spans="1:11" x14ac:dyDescent="0.3">
      <c r="A97" t="s">
        <v>199</v>
      </c>
      <c r="B97" t="s">
        <v>200</v>
      </c>
      <c r="C97" t="s">
        <v>2</v>
      </c>
      <c r="D97" t="s">
        <v>3</v>
      </c>
      <c r="E97">
        <v>85000</v>
      </c>
      <c r="F97">
        <v>8</v>
      </c>
      <c r="G97">
        <v>4.5</v>
      </c>
      <c r="H97" s="1">
        <v>43242</v>
      </c>
      <c r="I97">
        <v>36</v>
      </c>
      <c r="J97">
        <v>760000</v>
      </c>
      <c r="K97" t="s">
        <v>4</v>
      </c>
    </row>
    <row r="98" spans="1:11" x14ac:dyDescent="0.3">
      <c r="A98" t="s">
        <v>201</v>
      </c>
      <c r="B98" t="s">
        <v>202</v>
      </c>
      <c r="C98" t="s">
        <v>14</v>
      </c>
      <c r="D98" t="s">
        <v>15</v>
      </c>
      <c r="E98">
        <v>92000</v>
      </c>
      <c r="F98">
        <v>11</v>
      </c>
      <c r="G98">
        <v>5</v>
      </c>
      <c r="H98" s="1">
        <v>42256</v>
      </c>
      <c r="I98">
        <v>41</v>
      </c>
      <c r="J98">
        <v>950000</v>
      </c>
      <c r="K98" t="s">
        <v>4</v>
      </c>
    </row>
    <row r="99" spans="1:11" x14ac:dyDescent="0.3">
      <c r="A99" t="s">
        <v>203</v>
      </c>
      <c r="B99" t="s">
        <v>204</v>
      </c>
      <c r="C99" t="s">
        <v>11</v>
      </c>
      <c r="D99" t="s">
        <v>8</v>
      </c>
      <c r="E99">
        <v>39000</v>
      </c>
      <c r="F99">
        <v>2</v>
      </c>
      <c r="G99">
        <v>3</v>
      </c>
      <c r="H99" s="1">
        <v>45003</v>
      </c>
      <c r="I99">
        <v>24</v>
      </c>
      <c r="J99">
        <v>170000</v>
      </c>
      <c r="K99" t="s">
        <v>4</v>
      </c>
    </row>
    <row r="100" spans="1:11" x14ac:dyDescent="0.3">
      <c r="A100" t="s">
        <v>205</v>
      </c>
      <c r="B100" t="s">
        <v>206</v>
      </c>
      <c r="C100" t="s">
        <v>18</v>
      </c>
      <c r="D100" t="s">
        <v>19</v>
      </c>
      <c r="E100">
        <v>67000</v>
      </c>
      <c r="F100">
        <v>7</v>
      </c>
      <c r="G100">
        <v>4</v>
      </c>
      <c r="H100" s="1">
        <v>43673</v>
      </c>
      <c r="I100">
        <v>34</v>
      </c>
      <c r="J100">
        <v>560000</v>
      </c>
      <c r="K100" t="s">
        <v>4</v>
      </c>
    </row>
    <row r="101" spans="1:11" x14ac:dyDescent="0.3">
      <c r="A101" t="s">
        <v>207</v>
      </c>
      <c r="B101" t="s">
        <v>54</v>
      </c>
      <c r="C101" t="s">
        <v>22</v>
      </c>
      <c r="D101" t="s">
        <v>3</v>
      </c>
      <c r="E101">
        <v>103000</v>
      </c>
      <c r="F101">
        <v>12</v>
      </c>
      <c r="G101">
        <v>5</v>
      </c>
      <c r="H101" s="1">
        <v>41978</v>
      </c>
      <c r="I101">
        <v>43</v>
      </c>
      <c r="J101">
        <v>980000</v>
      </c>
      <c r="K101" t="s">
        <v>4</v>
      </c>
    </row>
    <row r="102" spans="1:11" ht="43.2" x14ac:dyDescent="0.3">
      <c r="A102" s="2" t="s">
        <v>208</v>
      </c>
      <c r="B102" s="2" t="s">
        <v>209</v>
      </c>
      <c r="C102" s="2" t="s">
        <v>2</v>
      </c>
      <c r="D102" s="2" t="s">
        <v>3</v>
      </c>
      <c r="E102" s="3">
        <v>70000</v>
      </c>
      <c r="F102" s="3">
        <v>6</v>
      </c>
      <c r="G102" s="3">
        <v>4</v>
      </c>
      <c r="H102" s="4">
        <v>45545</v>
      </c>
      <c r="I102" s="3">
        <v>30</v>
      </c>
      <c r="J102" s="3">
        <v>600000</v>
      </c>
      <c r="K102" s="2" t="s">
        <v>4</v>
      </c>
    </row>
    <row r="103" spans="1:11" x14ac:dyDescent="0.3">
      <c r="A103" t="s">
        <v>220</v>
      </c>
      <c r="E103">
        <f>SUBTOTAL(101,Empdetail[Salary])</f>
        <v>66792.079207920789</v>
      </c>
      <c r="J103">
        <f>SUBTOTAL(101,Empdetail[Sales])</f>
        <v>551930.6930693069</v>
      </c>
      <c r="K103">
        <f>SUBTOTAL(103,Empdetail[Status])</f>
        <v>101</v>
      </c>
    </row>
  </sheetData>
  <dataValidations count="4">
    <dataValidation type="custom" showInputMessage="1" showErrorMessage="1" sqref="I2" xr:uid="{6C88B0CC-606D-48CD-AD24-74F5599516D1}">
      <formula1>AND(I2&gt;=18,I2&lt;=60)</formula1>
    </dataValidation>
    <dataValidation type="custom" showInputMessage="1" showErrorMessage="1" sqref="E2" xr:uid="{B0A4F732-E374-49E4-B372-73F16E0EAE9C}">
      <formula1>LEN(A2=5)</formula1>
    </dataValidation>
    <dataValidation type="custom" allowBlank="1" showInputMessage="1" showErrorMessage="1" error="stop typing" sqref="A2 A4:A101" xr:uid="{CABEDB88-DFB3-48CD-BE76-9486B7A971A2}">
      <formula1>COUNTIF(A2:A101,A2)=1</formula1>
    </dataValidation>
    <dataValidation type="custom" allowBlank="1" showInputMessage="1" showErrorMessage="1" error="stop typing" sqref="A3" xr:uid="{E8C3A30F-80E1-42F2-B8A9-97E774FC27E0}">
      <formula1>COUNTIF(A3:A103,A3)=1</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59872-0C96-4C77-80C1-E0B2ACDD6517}">
  <sheetPr codeName="Sheet2"/>
  <dimension ref="A1:G77"/>
  <sheetViews>
    <sheetView topLeftCell="A51" workbookViewId="0">
      <selection activeCell="C77" sqref="C77"/>
    </sheetView>
  </sheetViews>
  <sheetFormatPr defaultRowHeight="13.8" x14ac:dyDescent="0.25"/>
  <cols>
    <col min="1" max="1" width="8.88671875" style="5"/>
    <col min="2" max="2" width="101.5546875" style="5" bestFit="1" customWidth="1"/>
    <col min="3" max="3" width="17.33203125" style="5" bestFit="1" customWidth="1"/>
    <col min="4" max="4" width="13.44140625" style="5" bestFit="1" customWidth="1"/>
    <col min="5" max="5" width="26.5546875" style="5" bestFit="1" customWidth="1"/>
    <col min="6" max="6" width="11.21875" style="5" bestFit="1" customWidth="1"/>
    <col min="7" max="7" width="26.88671875" style="5" bestFit="1" customWidth="1"/>
    <col min="8" max="8" width="9.21875" style="5" bestFit="1" customWidth="1"/>
    <col min="9" max="16384" width="8.88671875" style="5"/>
  </cols>
  <sheetData>
    <row r="1" spans="1:3" x14ac:dyDescent="0.25">
      <c r="B1" s="6" t="s">
        <v>221</v>
      </c>
      <c r="C1" s="6"/>
    </row>
    <row r="3" spans="1:3" x14ac:dyDescent="0.25">
      <c r="A3" s="5">
        <v>1</v>
      </c>
      <c r="B3" s="5" t="s">
        <v>222</v>
      </c>
      <c r="C3" s="5">
        <f>COUNTA([1]!Empdetail[Employee Name])</f>
        <v>101</v>
      </c>
    </row>
    <row r="4" spans="1:3" x14ac:dyDescent="0.25">
      <c r="A4" s="5">
        <v>2</v>
      </c>
      <c r="B4" s="5" t="s">
        <v>223</v>
      </c>
      <c r="C4" s="5">
        <f>SUM([1]!Empdetail[Salary])</f>
        <v>6746000</v>
      </c>
    </row>
    <row r="5" spans="1:3" x14ac:dyDescent="0.25">
      <c r="A5" s="5">
        <v>3</v>
      </c>
      <c r="B5" s="5" t="s">
        <v>224</v>
      </c>
      <c r="C5" s="7">
        <f>AVERAGE([1]!Empdetail[Salary])</f>
        <v>66792.079207920789</v>
      </c>
    </row>
    <row r="6" spans="1:3" x14ac:dyDescent="0.25">
      <c r="A6" s="5">
        <v>4</v>
      </c>
      <c r="B6" s="5" t="s">
        <v>225</v>
      </c>
      <c r="C6" s="5">
        <f>MAX([1]!Empdetail[Salary])</f>
        <v>112000</v>
      </c>
    </row>
    <row r="7" spans="1:3" x14ac:dyDescent="0.25">
      <c r="A7" s="5">
        <v>5</v>
      </c>
      <c r="B7" s="5" t="s">
        <v>226</v>
      </c>
      <c r="C7" s="5">
        <f>MIN([1]!Empdetail[Salary])</f>
        <v>35000</v>
      </c>
    </row>
    <row r="8" spans="1:3" x14ac:dyDescent="0.25">
      <c r="A8" s="5">
        <v>6</v>
      </c>
      <c r="B8" s="5" t="s">
        <v>227</v>
      </c>
      <c r="C8" s="5">
        <f>COUNTIF([1]!Empdetail[Salary],"&gt;60000")</f>
        <v>58</v>
      </c>
    </row>
    <row r="9" spans="1:3" x14ac:dyDescent="0.25">
      <c r="A9" s="5">
        <v>7</v>
      </c>
      <c r="B9" s="5" t="s">
        <v>228</v>
      </c>
      <c r="C9" s="5">
        <f>SUMIF([1]!Empdetail[Salary],"&gt;60000",[1]!Empdetail[Salary])</f>
        <v>4659000</v>
      </c>
    </row>
    <row r="10" spans="1:3" x14ac:dyDescent="0.25">
      <c r="A10" s="5">
        <v>8</v>
      </c>
      <c r="B10" s="5" t="s">
        <v>229</v>
      </c>
      <c r="C10" s="5">
        <f>AVERAGEIF([1]!Empdetail[Department],"IT",[1]!Empdetail[Salary])</f>
        <v>72875</v>
      </c>
    </row>
    <row r="11" spans="1:3" x14ac:dyDescent="0.25">
      <c r="A11" s="5">
        <v>9</v>
      </c>
      <c r="B11" s="5" t="s">
        <v>230</v>
      </c>
      <c r="C11" s="5">
        <f>SUMIF([1]!Empdetail[Experience],"&gt;=5",[1]!Empdetail[Salary])</f>
        <v>5219000</v>
      </c>
    </row>
    <row r="12" spans="1:3" x14ac:dyDescent="0.25">
      <c r="A12" s="5">
        <v>10</v>
      </c>
      <c r="B12" s="5" t="s">
        <v>231</v>
      </c>
      <c r="C12" s="5">
        <f>COUNTIFS([1]!Empdetail[Department],"IT",[1]!Empdetail[Salary],"&gt;60000")</f>
        <v>14</v>
      </c>
    </row>
    <row r="13" spans="1:3" x14ac:dyDescent="0.25">
      <c r="A13" s="5">
        <v>11</v>
      </c>
      <c r="B13" s="5" t="s">
        <v>232</v>
      </c>
      <c r="C13" s="5">
        <f>COUNTIFS([1]!Empdetail[Department],"Finance",[1]!Empdetail[Experience],"&gt;=5")</f>
        <v>8</v>
      </c>
    </row>
    <row r="14" spans="1:3" x14ac:dyDescent="0.25">
      <c r="A14" s="5">
        <v>12</v>
      </c>
      <c r="B14" s="5" t="s">
        <v>233</v>
      </c>
      <c r="C14" s="5" t="str">
        <f>INDEX(B47:B53,MATCH(MAX(C47:C53),C47:C53,0))</f>
        <v>IT</v>
      </c>
    </row>
    <row r="15" spans="1:3" x14ac:dyDescent="0.25">
      <c r="A15" s="5">
        <v>13</v>
      </c>
      <c r="B15" s="5" t="s">
        <v>234</v>
      </c>
      <c r="C15" s="5" t="str">
        <f>INDEX(B47:B53,MATCH(MAX(D47:D53),D47:D53,0))</f>
        <v>Analytics</v>
      </c>
    </row>
    <row r="16" spans="1:3" x14ac:dyDescent="0.25">
      <c r="A16" s="5">
        <v>14</v>
      </c>
      <c r="B16" s="5" t="s">
        <v>235</v>
      </c>
      <c r="C16" s="5" t="str">
        <f>INDEX(B47:B53,MATCH(MIN(D47:D53),D47:D53,0))</f>
        <v>HR</v>
      </c>
    </row>
    <row r="17" spans="1:3" x14ac:dyDescent="0.25">
      <c r="A17" s="5">
        <v>15</v>
      </c>
      <c r="B17" s="5" t="s">
        <v>236</v>
      </c>
      <c r="C17" s="5" t="str">
        <f>INDEX(B47:B53,MATCH(MAX(E47:E53),E47:E53,0))</f>
        <v>Analytics</v>
      </c>
    </row>
    <row r="18" spans="1:3" x14ac:dyDescent="0.25">
      <c r="A18" s="5">
        <v>16</v>
      </c>
      <c r="B18" s="5" t="s">
        <v>237</v>
      </c>
      <c r="C18" s="5" t="str">
        <f>INDEX(B47:B53,MATCH(MAX(F47:F53),F47:F53,0))</f>
        <v>Analytics</v>
      </c>
    </row>
    <row r="19" spans="1:3" x14ac:dyDescent="0.25">
      <c r="A19" s="5">
        <v>17</v>
      </c>
      <c r="B19" s="5" t="s">
        <v>238</v>
      </c>
      <c r="C19" s="5" t="str">
        <f>INDEX(B47:B53,MATCH(MAX(G47:G53),G47:G53,0))</f>
        <v>Analytics</v>
      </c>
    </row>
    <row r="20" spans="1:3" x14ac:dyDescent="0.25">
      <c r="A20" s="5">
        <v>18</v>
      </c>
      <c r="B20" s="5" t="s">
        <v>239</v>
      </c>
      <c r="C20" s="5" t="str">
        <f>INDEX(B47:B53,MATCH(MIN(G47:G53),G47:G53,0))</f>
        <v>HR</v>
      </c>
    </row>
    <row r="21" spans="1:3" x14ac:dyDescent="0.25">
      <c r="A21" s="5">
        <v>19</v>
      </c>
      <c r="B21" s="5" t="s">
        <v>240</v>
      </c>
      <c r="C21" s="5">
        <f>COUNTIF([1]!Empdetail[Performance Rating],"&gt;=4")</f>
        <v>68</v>
      </c>
    </row>
    <row r="22" spans="1:3" x14ac:dyDescent="0.25">
      <c r="A22" s="5">
        <v>20</v>
      </c>
      <c r="B22" s="5" t="s">
        <v>241</v>
      </c>
      <c r="C22" s="8">
        <f>(COUNTIF([1]!Empdetail[Performance Rating],"&gt;=4")/COUNTA([1]!Empdetail[Employee ID]))</f>
        <v>0.67326732673267331</v>
      </c>
    </row>
    <row r="23" spans="1:3" x14ac:dyDescent="0.25">
      <c r="A23" s="5">
        <v>21</v>
      </c>
      <c r="B23" s="5" t="s">
        <v>242</v>
      </c>
      <c r="C23" s="9">
        <f>COUNTIFS([1]!Empdetail[Experience],"&gt;=5",[1]!Empdetail[Performance Rating],"&gt;=4")</f>
        <v>66</v>
      </c>
    </row>
    <row r="24" spans="1:3" x14ac:dyDescent="0.25">
      <c r="A24" s="5">
        <v>22</v>
      </c>
      <c r="B24" s="5" t="s">
        <v>243</v>
      </c>
      <c r="C24" s="10">
        <f>(COUNTIF([1]!Empdetail[Experience],"&gt;=5")/COUNTA([1]!Empdetail[Employee ID]))</f>
        <v>0.67326732673267331</v>
      </c>
    </row>
    <row r="25" spans="1:3" x14ac:dyDescent="0.25">
      <c r="A25" s="5">
        <v>23</v>
      </c>
      <c r="B25" s="5" t="s">
        <v>244</v>
      </c>
      <c r="C25" s="10">
        <f>(COUNTIFS([1]!Empdetail[Experience],"&gt;=5",[1]!Empdetail[Performance Rating],"&gt;=4")/COUNTA([1]!Empdetail[Employee ID]))</f>
        <v>0.65346534653465349</v>
      </c>
    </row>
    <row r="26" spans="1:3" x14ac:dyDescent="0.25">
      <c r="A26" s="5">
        <v>24</v>
      </c>
      <c r="B26" s="5" t="s">
        <v>245</v>
      </c>
      <c r="C26" s="5">
        <f>MEDIAN([1]!Empdetail[Salary])</f>
        <v>65000</v>
      </c>
    </row>
    <row r="27" spans="1:3" x14ac:dyDescent="0.25">
      <c r="A27" s="5">
        <v>25</v>
      </c>
      <c r="B27" s="5" t="s">
        <v>246</v>
      </c>
      <c r="C27" s="5">
        <f>MAX([1]!Empdetail[Salary])-MIN([1]!Empdetail[Salary])</f>
        <v>77000</v>
      </c>
    </row>
    <row r="28" spans="1:3" x14ac:dyDescent="0.25">
      <c r="A28" s="5">
        <v>26</v>
      </c>
      <c r="B28" s="5" t="s">
        <v>247</v>
      </c>
      <c r="C28" s="7">
        <f>AVERAGEIFS([1]!Empdetail[Salary],[1]!Empdetail[Experience],"&gt;=5",[1]!Empdetail[Performance Rating],"&gt;=4")</f>
        <v>77530.303030303025</v>
      </c>
    </row>
    <row r="29" spans="1:3" x14ac:dyDescent="0.25">
      <c r="A29" s="5">
        <v>27</v>
      </c>
      <c r="B29" s="5" t="s">
        <v>248</v>
      </c>
      <c r="C29" s="7">
        <f>AVERAGEIFS([1]!Empdetail[Salary],[1]!Empdetail[Department],"=IT",[1]!Empdetail[Experience],"&gt;=5")</f>
        <v>76571.428571428565</v>
      </c>
    </row>
    <row r="30" spans="1:3" x14ac:dyDescent="0.25">
      <c r="A30" s="5">
        <v>28</v>
      </c>
      <c r="B30" s="5" t="s">
        <v>249</v>
      </c>
      <c r="C30" s="5">
        <f>SUMIFS([1]!Empdetail[Salary],[1]!Empdetail[Department],"=IT",[1]!Empdetail[Experience],"&gt;=5",[1]!Empdetail[Performance Rating],"&gt;=4")</f>
        <v>1072000</v>
      </c>
    </row>
    <row r="31" spans="1:3" x14ac:dyDescent="0.25">
      <c r="A31" s="5">
        <v>29</v>
      </c>
      <c r="B31" s="5" t="s">
        <v>250</v>
      </c>
      <c r="C31" s="5">
        <f>COUNTIFS([1]!Empdetail[Joining Date],"&gt;="&amp;DATE(2020,1,1),[1]!Empdetail[Joining Date],"&lt;"&amp;DATE(2021,1,1))</f>
        <v>18</v>
      </c>
    </row>
    <row r="32" spans="1:3" x14ac:dyDescent="0.25">
      <c r="A32" s="5">
        <v>30</v>
      </c>
      <c r="B32" s="5" t="s">
        <v>251</v>
      </c>
      <c r="C32" s="5">
        <f>COUNTIFS([1]!Empdetail[Joining Date],"&gt;="&amp;DATE(2021,1,1),[1]!Empdetail[Joining Date],"&lt;="&amp;DATE(2022,12,31))</f>
        <v>23</v>
      </c>
    </row>
    <row r="33" spans="1:7" x14ac:dyDescent="0.25">
      <c r="A33" s="5">
        <v>31</v>
      </c>
      <c r="B33" s="5" t="s">
        <v>252</v>
      </c>
      <c r="C33" s="11">
        <f>AVERAGEIFS([1]!Empdetail[Experience],[1]!Empdetail[Joining Date],"&gt;="&amp;DATE(2020,1,1),[1]!Empdetail[Joining Date],"&lt;"&amp;DATE(2021,1,1))</f>
        <v>4.833333333333333</v>
      </c>
    </row>
    <row r="34" spans="1:7" x14ac:dyDescent="0.25">
      <c r="A34" s="5">
        <v>32</v>
      </c>
      <c r="B34" s="5" t="s">
        <v>253</v>
      </c>
      <c r="C34" s="5">
        <f>COUNTIF([1]!Empdetail[Joining Date],"&lt;"&amp;DATE(2020,1,1))</f>
        <v>53</v>
      </c>
    </row>
    <row r="35" spans="1:7" x14ac:dyDescent="0.25">
      <c r="A35" s="5">
        <v>33</v>
      </c>
      <c r="B35" s="5" t="s">
        <v>254</v>
      </c>
      <c r="C35" s="5">
        <f>COUNTIF([1]!Empdetail[Joining Date],"&gt;="&amp;DATE(2023,1,1))</f>
        <v>7</v>
      </c>
    </row>
    <row r="36" spans="1:7" x14ac:dyDescent="0.25">
      <c r="A36" s="5">
        <v>34</v>
      </c>
      <c r="B36" s="5" t="s">
        <v>255</v>
      </c>
      <c r="C36" s="7">
        <f>AVERAGEIF([1]!Empdetail[Joining Date],"&gt;="&amp;DATE(2023,1,1),[1]!Empdetail[Salary])</f>
        <v>42428.571428571428</v>
      </c>
    </row>
    <row r="37" spans="1:7" x14ac:dyDescent="0.25">
      <c r="A37" s="5">
        <v>35</v>
      </c>
      <c r="B37" s="5" t="s">
        <v>256</v>
      </c>
      <c r="C37" s="5">
        <f>_xlfn.MAXIFS([1]!Empdetail[Salary],[1]!Empdetail[Joining Date],"&gt;="&amp;DATE(2020,1,1),[1]!Empdetail[Joining Date],"&lt;"&amp;DATE(2021,1,1))</f>
        <v>65000</v>
      </c>
    </row>
    <row r="38" spans="1:7" x14ac:dyDescent="0.25">
      <c r="A38" s="5">
        <v>36</v>
      </c>
      <c r="B38" s="5" t="s">
        <v>257</v>
      </c>
      <c r="C38" s="5">
        <f>_xlfn.MINIFS([1]!Empdetail[Salary],[1]!Empdetail[Joining Date],"&gt;="&amp;DATE(2020,1,1),[1]!Empdetail[Joining Date],"&lt;"&amp;DATE(2021,1,1))</f>
        <v>42000</v>
      </c>
    </row>
    <row r="39" spans="1:7" x14ac:dyDescent="0.25">
      <c r="A39" s="5">
        <v>37</v>
      </c>
      <c r="B39" s="5" t="s">
        <v>258</v>
      </c>
      <c r="C39" s="7">
        <f>AVERAGEIFS([1]!Empdetail[Performance Rating],[1]!Empdetail[Joining Date],"&gt;="&amp;DATE(2020,1,1),[1]!Empdetail[Joining Date],"&lt;"&amp;DATE(2021,1,1))</f>
        <v>3.8055555555555554</v>
      </c>
    </row>
    <row r="40" spans="1:7" x14ac:dyDescent="0.25">
      <c r="A40" s="5">
        <v>38</v>
      </c>
      <c r="B40" s="5" t="s">
        <v>259</v>
      </c>
      <c r="C40" s="5">
        <f>MEDIAN([1]!Empdetail[Experience])</f>
        <v>6</v>
      </c>
    </row>
    <row r="41" spans="1:7" x14ac:dyDescent="0.25">
      <c r="A41" s="5">
        <v>39</v>
      </c>
      <c r="B41" s="5" t="s">
        <v>260</v>
      </c>
      <c r="C41" s="12">
        <v>97000</v>
      </c>
      <c r="D41" s="13"/>
    </row>
    <row r="42" spans="1:7" x14ac:dyDescent="0.25">
      <c r="A42" s="5">
        <v>40</v>
      </c>
      <c r="B42" s="5" t="s">
        <v>261</v>
      </c>
      <c r="C42" s="5">
        <f>COUNTIFS([1]!Empdetail[Department],"Analytics",[1]!Empdetail[Salary],"&gt;"&amp;MEDIAN([1]!Empdetail[Salary]))</f>
        <v>15</v>
      </c>
    </row>
    <row r="43" spans="1:7" x14ac:dyDescent="0.25">
      <c r="A43" s="5">
        <v>41</v>
      </c>
      <c r="B43" s="5" t="s">
        <v>262</v>
      </c>
      <c r="C43" s="14">
        <f>(COUNTIFS([1]!Empdetail[Department],"Analytics",[1]!Empdetail[Performance Rating],"&gt;=4")/COUNTIF([1]!Empdetail[Department],"Analytics"))</f>
        <v>1</v>
      </c>
    </row>
    <row r="44" spans="1:7" x14ac:dyDescent="0.25">
      <c r="D44" s="7"/>
      <c r="E44" s="15"/>
      <c r="G44" s="15"/>
    </row>
    <row r="46" spans="1:7" ht="14.4" x14ac:dyDescent="0.3">
      <c r="B46" s="16" t="s">
        <v>212</v>
      </c>
      <c r="C46" s="16" t="s">
        <v>263</v>
      </c>
      <c r="D46" s="17" t="s">
        <v>224</v>
      </c>
      <c r="E46" s="17" t="s">
        <v>264</v>
      </c>
      <c r="F46" s="17" t="s">
        <v>223</v>
      </c>
      <c r="G46" s="17" t="s">
        <v>265</v>
      </c>
    </row>
    <row r="47" spans="1:7" x14ac:dyDescent="0.25">
      <c r="B47" s="5" t="s">
        <v>2</v>
      </c>
      <c r="C47" s="5">
        <f>COUNTIF([1]!Empdetail[Department],"=IT")</f>
        <v>16</v>
      </c>
      <c r="D47" s="7">
        <f>AVERAGEIF([1]!Empdetail[Department],B47,[1]!Empdetail[Salary])</f>
        <v>72875</v>
      </c>
      <c r="E47" s="15">
        <f>AVERAGEIF([1]!Empdetail[Department],B47,[1]!Empdetail[Performance Rating])</f>
        <v>4.34375</v>
      </c>
      <c r="F47" s="5">
        <f>SUMIF([1]!Empdetail[Department],B47,[1]!Empdetail[Salary])</f>
        <v>1166000</v>
      </c>
      <c r="G47" s="15">
        <f>AVERAGEIF([1]!Empdetail[Department],B47,[1]!Empdetail[Experience])</f>
        <v>6.8125</v>
      </c>
    </row>
    <row r="48" spans="1:7" x14ac:dyDescent="0.25">
      <c r="B48" s="5" t="s">
        <v>7</v>
      </c>
      <c r="C48" s="5">
        <f>COUNTIF([1]!Empdetail[Department],"=Finance")</f>
        <v>14</v>
      </c>
      <c r="D48" s="7">
        <f>AVERAGEIF([1]!Empdetail[Department],B48,[1]!Empdetail[Salary])</f>
        <v>58000</v>
      </c>
      <c r="E48" s="15">
        <f>AVERAGEIF([1]!Empdetail[Department],B48,[1]!Empdetail[Performance Rating])</f>
        <v>3.8214285714285716</v>
      </c>
      <c r="F48" s="5">
        <f>SUMIF([1]!Empdetail[Department],B48,[1]!Empdetail[Salary])</f>
        <v>812000</v>
      </c>
      <c r="G48" s="15">
        <f>AVERAGEIF([1]!Empdetail[Department],B48,[1]!Empdetail[Experience])</f>
        <v>4.7142857142857144</v>
      </c>
    </row>
    <row r="49" spans="2:7" x14ac:dyDescent="0.25">
      <c r="B49" s="5" t="s">
        <v>11</v>
      </c>
      <c r="C49" s="5">
        <f>COUNTIF([1]!Empdetail[Department],"=HR")</f>
        <v>16</v>
      </c>
      <c r="D49" s="7">
        <f>AVERAGEIF([1]!Empdetail[Department],B49,[1]!Empdetail[Salary])</f>
        <v>40937.5</v>
      </c>
      <c r="E49" s="15">
        <f>AVERAGEIF([1]!Empdetail[Department],B49,[1]!Empdetail[Performance Rating])</f>
        <v>3.09375</v>
      </c>
      <c r="F49" s="5">
        <f>SUMIF([1]!Empdetail[Department],B49,[1]!Empdetail[Salary])</f>
        <v>655000</v>
      </c>
      <c r="G49" s="15">
        <f>AVERAGEIF([1]!Empdetail[Department],B49,[1]!Empdetail[Experience])</f>
        <v>2.4375</v>
      </c>
    </row>
    <row r="50" spans="2:7" x14ac:dyDescent="0.25">
      <c r="B50" s="5" t="s">
        <v>18</v>
      </c>
      <c r="C50" s="5">
        <f>COUNTIF([1]!Empdetail[Department],"=Marketing")</f>
        <v>15</v>
      </c>
      <c r="D50" s="7">
        <f>AVERAGEIF([1]!Empdetail[Department],B50,[1]!Empdetail[Salary])</f>
        <v>66000</v>
      </c>
      <c r="E50" s="15">
        <f>AVERAGEIF([1]!Empdetail[Department],B50,[1]!Empdetail[Performance Rating])</f>
        <v>4.0666666666666664</v>
      </c>
      <c r="F50" s="5">
        <f>SUMIF([1]!Empdetail[Department],B50,[1]!Empdetail[Salary])</f>
        <v>990000</v>
      </c>
      <c r="G50" s="15">
        <f>AVERAGEIF([1]!Empdetail[Department],B50,[1]!Empdetail[Experience])</f>
        <v>6.4666666666666668</v>
      </c>
    </row>
    <row r="51" spans="2:7" x14ac:dyDescent="0.25">
      <c r="B51" s="5" t="s">
        <v>22</v>
      </c>
      <c r="C51" s="5">
        <f>COUNTIF([1]!Empdetail[Department],"=Analytics")</f>
        <v>15</v>
      </c>
      <c r="D51" s="7">
        <f>AVERAGEIF([1]!Empdetail[Department],B51,[1]!Empdetail[Salary])</f>
        <v>96600</v>
      </c>
      <c r="E51" s="15">
        <f>AVERAGEIF([1]!Empdetail[Department],B51,[1]!Empdetail[Performance Rating])</f>
        <v>4.9000000000000004</v>
      </c>
      <c r="F51" s="5">
        <f>SUMIF([1]!Empdetail[Department],B51,[1]!Empdetail[Salary])</f>
        <v>1449000</v>
      </c>
      <c r="G51" s="15">
        <f>AVERAGEIF([1]!Empdetail[Department],B51,[1]!Empdetail[Experience])</f>
        <v>10.199999999999999</v>
      </c>
    </row>
    <row r="52" spans="2:7" x14ac:dyDescent="0.25">
      <c r="B52" s="5" t="s">
        <v>25</v>
      </c>
      <c r="C52" s="5">
        <f>COUNTIF([1]!Empdetail[Department],"=Operations")</f>
        <v>10</v>
      </c>
      <c r="D52" s="7">
        <f>AVERAGEIF([1]!Empdetail[Department],B52,[1]!Empdetail[Salary])</f>
        <v>50600</v>
      </c>
      <c r="E52" s="15">
        <f>AVERAGEIF([1]!Empdetail[Department],B52,[1]!Empdetail[Performance Rating])</f>
        <v>3.55</v>
      </c>
      <c r="F52" s="5">
        <f>SUMIF([1]!Empdetail[Department],B52,[1]!Empdetail[Salary])</f>
        <v>506000</v>
      </c>
      <c r="G52" s="15">
        <f>AVERAGEIF([1]!Empdetail[Department],B52,[1]!Empdetail[Experience])</f>
        <v>4.2</v>
      </c>
    </row>
    <row r="53" spans="2:7" x14ac:dyDescent="0.25">
      <c r="B53" s="5" t="s">
        <v>14</v>
      </c>
      <c r="C53" s="5">
        <f>COUNTIF([1]!Empdetail[Department],"=Sales")</f>
        <v>15</v>
      </c>
      <c r="D53" s="7">
        <f>AVERAGEIF([1]!Empdetail[Department],B53,[1]!Empdetail[Salary])</f>
        <v>77866.666666666672</v>
      </c>
      <c r="E53" s="15">
        <f>AVERAGEIF([1]!Empdetail[Department],B53,[1]!Empdetail[Performance Rating])</f>
        <v>4.5666666666666664</v>
      </c>
      <c r="F53" s="5">
        <f>SUMIF([1]!Empdetail[Department],B53,[1]!Empdetail[Salary])</f>
        <v>1168000</v>
      </c>
      <c r="G53" s="15">
        <f>AVERAGEIF([1]!Empdetail[Department],B53,[1]!Empdetail[Experience])</f>
        <v>7.8666666666666663</v>
      </c>
    </row>
    <row r="54" spans="2:7" x14ac:dyDescent="0.25">
      <c r="B54" s="5" t="s">
        <v>266</v>
      </c>
      <c r="C54" s="5">
        <f>SUM(C47:C53)</f>
        <v>101</v>
      </c>
      <c r="E54" s="7"/>
    </row>
    <row r="77" spans="2:2" x14ac:dyDescent="0.25">
      <c r="B77" s="5" t="s">
        <v>267</v>
      </c>
    </row>
  </sheetData>
  <mergeCells count="1">
    <mergeCell ref="B1:C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700E-8D82-4880-B568-4FD4300329EB}">
  <sheetPr codeName="Sheet3"/>
  <dimension ref="A1:J127"/>
  <sheetViews>
    <sheetView zoomScale="42" workbookViewId="0">
      <selection sqref="A1:XFD1048576"/>
    </sheetView>
  </sheetViews>
  <sheetFormatPr defaultRowHeight="14.4" x14ac:dyDescent="0.3"/>
  <cols>
    <col min="1" max="1" width="17.88671875" bestFit="1" customWidth="1"/>
    <col min="2" max="2" width="21.77734375" bestFit="1" customWidth="1"/>
    <col min="3" max="3" width="16.77734375" bestFit="1" customWidth="1"/>
    <col min="4" max="5" width="29" bestFit="1" customWidth="1"/>
    <col min="6" max="6" width="16.5546875" bestFit="1" customWidth="1"/>
    <col min="7" max="7" width="31.5546875" bestFit="1" customWidth="1"/>
    <col min="8" max="9" width="16.5546875" bestFit="1" customWidth="1"/>
    <col min="10" max="10" width="21" bestFit="1" customWidth="1"/>
    <col min="11" max="11" width="12.6640625" bestFit="1" customWidth="1"/>
    <col min="12" max="12" width="13.88671875" bestFit="1" customWidth="1"/>
    <col min="13" max="15" width="6" bestFit="1" customWidth="1"/>
    <col min="16" max="16" width="13.5546875" bestFit="1" customWidth="1"/>
    <col min="17" max="17" width="17.109375" bestFit="1" customWidth="1"/>
    <col min="18" max="23" width="6" bestFit="1" customWidth="1"/>
    <col min="24" max="24" width="6.21875" bestFit="1" customWidth="1"/>
    <col min="25" max="25" width="9.21875" bestFit="1" customWidth="1"/>
    <col min="26" max="26" width="6.88671875" bestFit="1" customWidth="1"/>
    <col min="27" max="31" width="6.21875" bestFit="1" customWidth="1"/>
    <col min="32" max="66" width="6" bestFit="1" customWidth="1"/>
    <col min="67" max="72" width="7" bestFit="1" customWidth="1"/>
    <col min="73" max="73" width="10.77734375" bestFit="1" customWidth="1"/>
    <col min="74" max="77" width="6" bestFit="1" customWidth="1"/>
    <col min="78" max="83" width="7" bestFit="1" customWidth="1"/>
    <col min="84" max="84" width="10.33203125" bestFit="1" customWidth="1"/>
    <col min="85" max="85" width="10.77734375" bestFit="1" customWidth="1"/>
    <col min="86" max="103" width="5" bestFit="1" customWidth="1"/>
    <col min="104" max="104" width="10.77734375" bestFit="1" customWidth="1"/>
    <col min="105" max="119" width="6" bestFit="1" customWidth="1"/>
    <col min="120" max="120" width="7" bestFit="1" customWidth="1"/>
    <col min="121" max="135" width="6" bestFit="1" customWidth="1"/>
    <col min="136" max="136" width="7" bestFit="1" customWidth="1"/>
    <col min="137" max="155" width="6" bestFit="1" customWidth="1"/>
    <col min="156" max="156" width="7" bestFit="1" customWidth="1"/>
    <col min="157" max="175" width="6" bestFit="1" customWidth="1"/>
    <col min="176" max="176" width="7" bestFit="1" customWidth="1"/>
    <col min="177" max="189" width="6" bestFit="1" customWidth="1"/>
    <col min="190" max="190" width="7" bestFit="1" customWidth="1"/>
    <col min="191" max="202" width="6" bestFit="1" customWidth="1"/>
    <col min="203" max="203" width="7" bestFit="1" customWidth="1"/>
    <col min="204" max="204" width="6" bestFit="1" customWidth="1"/>
    <col min="205" max="205" width="17.44140625" bestFit="1" customWidth="1"/>
    <col min="206" max="206" width="21.6640625" bestFit="1" customWidth="1"/>
    <col min="207" max="220" width="6" bestFit="1" customWidth="1"/>
    <col min="221" max="221" width="7" bestFit="1" customWidth="1"/>
    <col min="222" max="236" width="6" bestFit="1" customWidth="1"/>
    <col min="237" max="237" width="7" bestFit="1" customWidth="1"/>
    <col min="238" max="256" width="6" bestFit="1" customWidth="1"/>
    <col min="257" max="257" width="7" bestFit="1" customWidth="1"/>
    <col min="258" max="276" width="6" bestFit="1" customWidth="1"/>
    <col min="277" max="277" width="7" bestFit="1" customWidth="1"/>
    <col min="278" max="290" width="6" bestFit="1" customWidth="1"/>
    <col min="291" max="291" width="7" bestFit="1" customWidth="1"/>
    <col min="292" max="303" width="6" bestFit="1" customWidth="1"/>
    <col min="304" max="304" width="7" bestFit="1" customWidth="1"/>
    <col min="305" max="305" width="6" bestFit="1" customWidth="1"/>
    <col min="306" max="306" width="24.33203125" bestFit="1" customWidth="1"/>
    <col min="307" max="307" width="17.44140625" bestFit="1" customWidth="1"/>
    <col min="308" max="308" width="21.6640625" bestFit="1" customWidth="1"/>
  </cols>
  <sheetData>
    <row r="1" spans="1:4" ht="17.399999999999999" x14ac:dyDescent="0.3">
      <c r="A1" s="18" t="s">
        <v>268</v>
      </c>
      <c r="B1" s="18"/>
      <c r="C1" s="18"/>
      <c r="D1" s="18"/>
    </row>
    <row r="2" spans="1:4" ht="17.399999999999999" x14ac:dyDescent="0.3">
      <c r="A2" s="34" t="s">
        <v>212</v>
      </c>
      <c r="B2" s="19" t="s">
        <v>269</v>
      </c>
      <c r="C2" s="19" t="s">
        <v>224</v>
      </c>
      <c r="D2" s="19" t="s">
        <v>270</v>
      </c>
    </row>
    <row r="3" spans="1:4" ht="15.6" x14ac:dyDescent="0.3">
      <c r="A3" s="20" t="s">
        <v>22</v>
      </c>
      <c r="B3" s="21">
        <v>1449000</v>
      </c>
      <c r="C3" s="21">
        <v>96600</v>
      </c>
      <c r="D3" s="21">
        <v>112000</v>
      </c>
    </row>
    <row r="4" spans="1:4" ht="15.6" x14ac:dyDescent="0.3">
      <c r="A4" s="20" t="s">
        <v>7</v>
      </c>
      <c r="B4" s="21">
        <v>812000</v>
      </c>
      <c r="C4" s="21">
        <v>58000</v>
      </c>
      <c r="D4" s="21">
        <v>75000</v>
      </c>
    </row>
    <row r="5" spans="1:4" ht="15.6" x14ac:dyDescent="0.3">
      <c r="A5" s="20" t="s">
        <v>11</v>
      </c>
      <c r="B5" s="21">
        <v>655000</v>
      </c>
      <c r="C5" s="21">
        <v>40937.5</v>
      </c>
      <c r="D5" s="21">
        <v>52000</v>
      </c>
    </row>
    <row r="6" spans="1:4" ht="15.6" x14ac:dyDescent="0.3">
      <c r="A6" s="20" t="s">
        <v>2</v>
      </c>
      <c r="B6" s="21">
        <v>1166000</v>
      </c>
      <c r="C6" s="21">
        <v>72875</v>
      </c>
      <c r="D6" s="21">
        <v>95000</v>
      </c>
    </row>
    <row r="7" spans="1:4" ht="15.6" x14ac:dyDescent="0.3">
      <c r="A7" s="20" t="s">
        <v>18</v>
      </c>
      <c r="B7" s="21">
        <v>990000</v>
      </c>
      <c r="C7" s="21">
        <v>66000</v>
      </c>
      <c r="D7" s="21">
        <v>81000</v>
      </c>
    </row>
    <row r="8" spans="1:4" ht="15.6" x14ac:dyDescent="0.3">
      <c r="A8" s="20" t="s">
        <v>25</v>
      </c>
      <c r="B8" s="21">
        <v>506000</v>
      </c>
      <c r="C8" s="21">
        <v>50600</v>
      </c>
      <c r="D8" s="21">
        <v>59000</v>
      </c>
    </row>
    <row r="9" spans="1:4" ht="15.6" x14ac:dyDescent="0.3">
      <c r="A9" s="20" t="s">
        <v>14</v>
      </c>
      <c r="B9" s="21">
        <v>1168000</v>
      </c>
      <c r="C9" s="21">
        <v>77866.666666666672</v>
      </c>
      <c r="D9" s="21">
        <v>110000</v>
      </c>
    </row>
    <row r="10" spans="1:4" ht="15.6" x14ac:dyDescent="0.3">
      <c r="A10" s="20" t="s">
        <v>271</v>
      </c>
      <c r="B10" s="21">
        <v>6746000</v>
      </c>
      <c r="C10" s="21">
        <v>66792.079207920789</v>
      </c>
      <c r="D10" s="21">
        <v>112000</v>
      </c>
    </row>
    <row r="13" spans="1:4" ht="17.399999999999999" x14ac:dyDescent="0.3">
      <c r="A13" s="18" t="s">
        <v>272</v>
      </c>
      <c r="B13" s="18"/>
    </row>
    <row r="14" spans="1:4" ht="18" x14ac:dyDescent="0.35">
      <c r="A14" s="32" t="s">
        <v>212</v>
      </c>
      <c r="B14" s="22" t="s">
        <v>273</v>
      </c>
      <c r="C14" s="22" t="s">
        <v>265</v>
      </c>
      <c r="D14" s="22" t="s">
        <v>274</v>
      </c>
    </row>
    <row r="15" spans="1:4" ht="15.6" x14ac:dyDescent="0.3">
      <c r="A15" s="20" t="s">
        <v>22</v>
      </c>
      <c r="B15" s="23">
        <v>15</v>
      </c>
      <c r="C15" s="23">
        <v>10.199999999999999</v>
      </c>
      <c r="D15" s="23">
        <v>13</v>
      </c>
    </row>
    <row r="16" spans="1:4" ht="15.6" x14ac:dyDescent="0.3">
      <c r="A16" s="20" t="s">
        <v>7</v>
      </c>
      <c r="B16" s="23">
        <v>14</v>
      </c>
      <c r="C16" s="23">
        <v>4.7142857142857144</v>
      </c>
      <c r="D16" s="23">
        <v>8</v>
      </c>
    </row>
    <row r="17" spans="1:8" ht="15.6" x14ac:dyDescent="0.3">
      <c r="A17" s="20" t="s">
        <v>11</v>
      </c>
      <c r="B17" s="23">
        <v>16</v>
      </c>
      <c r="C17" s="23">
        <v>2.4375</v>
      </c>
      <c r="D17" s="23">
        <v>4</v>
      </c>
    </row>
    <row r="18" spans="1:8" ht="15.6" x14ac:dyDescent="0.3">
      <c r="A18" s="20" t="s">
        <v>2</v>
      </c>
      <c r="B18" s="23">
        <v>16</v>
      </c>
      <c r="C18" s="23">
        <v>6.8125</v>
      </c>
      <c r="D18" s="23">
        <v>10</v>
      </c>
    </row>
    <row r="19" spans="1:8" ht="15.6" x14ac:dyDescent="0.3">
      <c r="A19" s="20" t="s">
        <v>18</v>
      </c>
      <c r="B19" s="23">
        <v>15</v>
      </c>
      <c r="C19" s="23">
        <v>6.4666666666666668</v>
      </c>
      <c r="D19" s="23">
        <v>10</v>
      </c>
    </row>
    <row r="20" spans="1:8" ht="15.6" x14ac:dyDescent="0.3">
      <c r="A20" s="20" t="s">
        <v>25</v>
      </c>
      <c r="B20" s="23">
        <v>10</v>
      </c>
      <c r="C20" s="23">
        <v>4.2</v>
      </c>
      <c r="D20" s="23">
        <v>6</v>
      </c>
    </row>
    <row r="21" spans="1:8" ht="15.6" x14ac:dyDescent="0.3">
      <c r="A21" s="20" t="s">
        <v>14</v>
      </c>
      <c r="B21" s="23">
        <v>15</v>
      </c>
      <c r="C21" s="23">
        <v>7.8666666666666663</v>
      </c>
      <c r="D21" s="23">
        <v>12</v>
      </c>
    </row>
    <row r="22" spans="1:8" ht="15.6" x14ac:dyDescent="0.3">
      <c r="A22" s="20" t="s">
        <v>271</v>
      </c>
      <c r="B22" s="23">
        <v>101</v>
      </c>
      <c r="C22" s="23">
        <v>6.1782178217821784</v>
      </c>
      <c r="D22" s="23">
        <v>13</v>
      </c>
    </row>
    <row r="25" spans="1:8" ht="18" x14ac:dyDescent="0.35">
      <c r="A25" s="18" t="s">
        <v>275</v>
      </c>
      <c r="B25" s="24"/>
    </row>
    <row r="26" spans="1:8" ht="15.6" x14ac:dyDescent="0.3">
      <c r="A26" s="31" t="s">
        <v>263</v>
      </c>
      <c r="B26" s="38" t="s">
        <v>276</v>
      </c>
      <c r="C26" s="25"/>
      <c r="D26" s="25"/>
      <c r="E26" s="25"/>
      <c r="F26" s="25"/>
      <c r="G26" s="25"/>
      <c r="H26" s="25"/>
    </row>
    <row r="27" spans="1:8" ht="15.6" x14ac:dyDescent="0.3">
      <c r="A27" s="31" t="s">
        <v>212</v>
      </c>
      <c r="B27" s="25">
        <v>2.5</v>
      </c>
      <c r="C27" s="25">
        <v>3</v>
      </c>
      <c r="D27" s="25">
        <v>3.5</v>
      </c>
      <c r="E27" s="25">
        <v>4</v>
      </c>
      <c r="F27" s="25">
        <v>4.5</v>
      </c>
      <c r="G27" s="25">
        <v>5</v>
      </c>
      <c r="H27" s="25" t="s">
        <v>271</v>
      </c>
    </row>
    <row r="28" spans="1:8" ht="15.6" x14ac:dyDescent="0.3">
      <c r="A28" s="20" t="s">
        <v>22</v>
      </c>
      <c r="B28" s="37">
        <v>0</v>
      </c>
      <c r="C28" s="37">
        <v>0</v>
      </c>
      <c r="D28" s="37">
        <v>0</v>
      </c>
      <c r="E28" s="37">
        <v>0</v>
      </c>
      <c r="F28" s="37">
        <v>3</v>
      </c>
      <c r="G28" s="37">
        <v>12</v>
      </c>
      <c r="H28" s="37">
        <v>15</v>
      </c>
    </row>
    <row r="29" spans="1:8" ht="15.6" x14ac:dyDescent="0.3">
      <c r="A29" s="20" t="s">
        <v>7</v>
      </c>
      <c r="B29" s="37">
        <v>0</v>
      </c>
      <c r="C29" s="37">
        <v>1</v>
      </c>
      <c r="D29" s="37">
        <v>6</v>
      </c>
      <c r="E29" s="37">
        <v>5</v>
      </c>
      <c r="F29" s="37">
        <v>1</v>
      </c>
      <c r="G29" s="37">
        <v>1</v>
      </c>
      <c r="H29" s="37">
        <v>14</v>
      </c>
    </row>
    <row r="30" spans="1:8" ht="15.6" x14ac:dyDescent="0.3">
      <c r="A30" s="20" t="s">
        <v>11</v>
      </c>
      <c r="B30" s="37">
        <v>2</v>
      </c>
      <c r="C30" s="37">
        <v>10</v>
      </c>
      <c r="D30" s="37">
        <v>3</v>
      </c>
      <c r="E30" s="37">
        <v>1</v>
      </c>
      <c r="F30" s="37">
        <v>0</v>
      </c>
      <c r="G30" s="37">
        <v>0</v>
      </c>
      <c r="H30" s="37">
        <v>16</v>
      </c>
    </row>
    <row r="31" spans="1:8" ht="15.6" x14ac:dyDescent="0.3">
      <c r="A31" s="20" t="s">
        <v>2</v>
      </c>
      <c r="B31" s="37">
        <v>0</v>
      </c>
      <c r="C31" s="37">
        <v>1</v>
      </c>
      <c r="D31" s="37">
        <v>1</v>
      </c>
      <c r="E31" s="37">
        <v>3</v>
      </c>
      <c r="F31" s="37">
        <v>8</v>
      </c>
      <c r="G31" s="37">
        <v>3</v>
      </c>
      <c r="H31" s="37">
        <v>16</v>
      </c>
    </row>
    <row r="32" spans="1:8" ht="15.6" x14ac:dyDescent="0.3">
      <c r="A32" s="20" t="s">
        <v>18</v>
      </c>
      <c r="B32" s="37">
        <v>0</v>
      </c>
      <c r="C32" s="37">
        <v>0</v>
      </c>
      <c r="D32" s="37">
        <v>2</v>
      </c>
      <c r="E32" s="37">
        <v>9</v>
      </c>
      <c r="F32" s="37">
        <v>4</v>
      </c>
      <c r="G32" s="37">
        <v>0</v>
      </c>
      <c r="H32" s="37">
        <v>15</v>
      </c>
    </row>
    <row r="33" spans="1:8" ht="15.6" x14ac:dyDescent="0.3">
      <c r="A33" s="20" t="s">
        <v>25</v>
      </c>
      <c r="B33" s="37">
        <v>0</v>
      </c>
      <c r="C33" s="37">
        <v>2</v>
      </c>
      <c r="D33" s="37">
        <v>5</v>
      </c>
      <c r="E33" s="37">
        <v>3</v>
      </c>
      <c r="F33" s="37">
        <v>0</v>
      </c>
      <c r="G33" s="37">
        <v>0</v>
      </c>
      <c r="H33" s="37">
        <v>10</v>
      </c>
    </row>
    <row r="34" spans="1:8" ht="15.6" x14ac:dyDescent="0.3">
      <c r="A34" s="20" t="s">
        <v>14</v>
      </c>
      <c r="B34" s="37">
        <v>0</v>
      </c>
      <c r="C34" s="37">
        <v>0</v>
      </c>
      <c r="D34" s="37">
        <v>0</v>
      </c>
      <c r="E34" s="37">
        <v>4</v>
      </c>
      <c r="F34" s="37">
        <v>5</v>
      </c>
      <c r="G34" s="37">
        <v>6</v>
      </c>
      <c r="H34" s="37">
        <v>15</v>
      </c>
    </row>
    <row r="35" spans="1:8" ht="15.6" x14ac:dyDescent="0.3">
      <c r="A35" s="20" t="s">
        <v>271</v>
      </c>
      <c r="B35" s="37">
        <v>2</v>
      </c>
      <c r="C35" s="37">
        <v>14</v>
      </c>
      <c r="D35" s="37">
        <v>17</v>
      </c>
      <c r="E35" s="37">
        <v>25</v>
      </c>
      <c r="F35" s="37">
        <v>21</v>
      </c>
      <c r="G35" s="37">
        <v>22</v>
      </c>
      <c r="H35" s="37">
        <v>101</v>
      </c>
    </row>
    <row r="38" spans="1:8" ht="17.399999999999999" x14ac:dyDescent="0.3">
      <c r="A38" s="18" t="s">
        <v>277</v>
      </c>
    </row>
    <row r="39" spans="1:8" ht="15.6" x14ac:dyDescent="0.3">
      <c r="A39" s="31" t="s">
        <v>212</v>
      </c>
      <c r="B39" s="25" t="s">
        <v>264</v>
      </c>
      <c r="C39" s="26"/>
    </row>
    <row r="40" spans="1:8" ht="15.6" x14ac:dyDescent="0.3">
      <c r="A40" s="20" t="s">
        <v>22</v>
      </c>
      <c r="B40" s="27">
        <v>4.9000000000000004</v>
      </c>
    </row>
    <row r="41" spans="1:8" ht="15.6" x14ac:dyDescent="0.3">
      <c r="A41" s="20" t="s">
        <v>7</v>
      </c>
      <c r="B41" s="27">
        <v>3.8214285714285716</v>
      </c>
    </row>
    <row r="42" spans="1:8" ht="15.6" x14ac:dyDescent="0.3">
      <c r="A42" s="20" t="s">
        <v>11</v>
      </c>
      <c r="B42" s="27">
        <v>3.09375</v>
      </c>
    </row>
    <row r="43" spans="1:8" ht="15.6" x14ac:dyDescent="0.3">
      <c r="A43" s="20" t="s">
        <v>2</v>
      </c>
      <c r="B43" s="27">
        <v>4.34375</v>
      </c>
    </row>
    <row r="44" spans="1:8" ht="15.6" x14ac:dyDescent="0.3">
      <c r="A44" s="20" t="s">
        <v>18</v>
      </c>
      <c r="B44" s="27">
        <v>4.0666666666666664</v>
      </c>
    </row>
    <row r="45" spans="1:8" ht="15.6" x14ac:dyDescent="0.3">
      <c r="A45" s="20" t="s">
        <v>25</v>
      </c>
      <c r="B45" s="27">
        <v>3.55</v>
      </c>
    </row>
    <row r="46" spans="1:8" ht="15.6" x14ac:dyDescent="0.3">
      <c r="A46" s="20" t="s">
        <v>14</v>
      </c>
      <c r="B46" s="27">
        <v>4.5666666666666664</v>
      </c>
    </row>
    <row r="47" spans="1:8" ht="15.6" x14ac:dyDescent="0.3">
      <c r="A47" s="20" t="s">
        <v>271</v>
      </c>
      <c r="B47" s="27">
        <v>4.0693069306930694</v>
      </c>
    </row>
    <row r="50" spans="1:8" ht="17.399999999999999" x14ac:dyDescent="0.3">
      <c r="A50" s="18" t="s">
        <v>278</v>
      </c>
    </row>
    <row r="51" spans="1:8" ht="15.6" x14ac:dyDescent="0.3">
      <c r="A51" s="31" t="s">
        <v>269</v>
      </c>
      <c r="B51" s="31" t="s">
        <v>216</v>
      </c>
      <c r="C51" s="25"/>
      <c r="D51" s="25"/>
      <c r="E51" s="25"/>
      <c r="F51" s="25"/>
      <c r="G51" s="25"/>
      <c r="H51" s="25"/>
    </row>
    <row r="52" spans="1:8" ht="15.6" x14ac:dyDescent="0.3">
      <c r="A52" s="31" t="s">
        <v>212</v>
      </c>
      <c r="B52" s="25">
        <v>2.5</v>
      </c>
      <c r="C52" s="25">
        <v>3</v>
      </c>
      <c r="D52" s="25">
        <v>3.5</v>
      </c>
      <c r="E52" s="25">
        <v>4</v>
      </c>
      <c r="F52" s="25">
        <v>4.5</v>
      </c>
      <c r="G52" s="25">
        <v>5</v>
      </c>
      <c r="H52" s="25" t="s">
        <v>271</v>
      </c>
    </row>
    <row r="53" spans="1:8" ht="15.6" x14ac:dyDescent="0.3">
      <c r="A53" s="20" t="s">
        <v>22</v>
      </c>
      <c r="B53" s="21">
        <v>0</v>
      </c>
      <c r="C53" s="21">
        <v>0</v>
      </c>
      <c r="D53" s="21">
        <v>0</v>
      </c>
      <c r="E53" s="21">
        <v>0</v>
      </c>
      <c r="F53" s="21">
        <v>259000</v>
      </c>
      <c r="G53" s="21">
        <v>1190000</v>
      </c>
      <c r="H53" s="21">
        <v>1449000</v>
      </c>
    </row>
    <row r="54" spans="1:8" ht="15.6" x14ac:dyDescent="0.3">
      <c r="A54" s="20" t="s">
        <v>7</v>
      </c>
      <c r="B54" s="21">
        <v>0</v>
      </c>
      <c r="C54" s="21">
        <v>48000</v>
      </c>
      <c r="D54" s="21">
        <v>322000</v>
      </c>
      <c r="E54" s="21">
        <v>302000</v>
      </c>
      <c r="F54" s="21">
        <v>65000</v>
      </c>
      <c r="G54" s="21">
        <v>75000</v>
      </c>
      <c r="H54" s="21">
        <v>812000</v>
      </c>
    </row>
    <row r="55" spans="1:8" ht="15.6" x14ac:dyDescent="0.3">
      <c r="A55" s="20" t="s">
        <v>11</v>
      </c>
      <c r="B55" s="21">
        <v>71000</v>
      </c>
      <c r="C55" s="21">
        <v>406000</v>
      </c>
      <c r="D55" s="21">
        <v>126000</v>
      </c>
      <c r="E55" s="21">
        <v>52000</v>
      </c>
      <c r="F55" s="21">
        <v>0</v>
      </c>
      <c r="G55" s="21">
        <v>0</v>
      </c>
      <c r="H55" s="21">
        <v>655000</v>
      </c>
    </row>
    <row r="56" spans="1:8" ht="15.6" x14ac:dyDescent="0.3">
      <c r="A56" s="20" t="s">
        <v>2</v>
      </c>
      <c r="B56" s="21">
        <v>0</v>
      </c>
      <c r="C56" s="21">
        <v>49000</v>
      </c>
      <c r="D56" s="21">
        <v>45000</v>
      </c>
      <c r="E56" s="21">
        <v>196000</v>
      </c>
      <c r="F56" s="21">
        <v>604000</v>
      </c>
      <c r="G56" s="21">
        <v>272000</v>
      </c>
      <c r="H56" s="21">
        <v>1166000</v>
      </c>
    </row>
    <row r="57" spans="1:8" ht="15.6" x14ac:dyDescent="0.3">
      <c r="A57" s="20" t="s">
        <v>18</v>
      </c>
      <c r="B57" s="21">
        <v>0</v>
      </c>
      <c r="C57" s="21">
        <v>0</v>
      </c>
      <c r="D57" s="21">
        <v>112000</v>
      </c>
      <c r="E57" s="21">
        <v>566000</v>
      </c>
      <c r="F57" s="21">
        <v>312000</v>
      </c>
      <c r="G57" s="21">
        <v>0</v>
      </c>
      <c r="H57" s="21">
        <v>990000</v>
      </c>
    </row>
    <row r="58" spans="1:8" ht="15.6" x14ac:dyDescent="0.3">
      <c r="A58" s="20" t="s">
        <v>25</v>
      </c>
      <c r="B58" s="21">
        <v>0</v>
      </c>
      <c r="C58" s="21">
        <v>93000</v>
      </c>
      <c r="D58" s="21">
        <v>243000</v>
      </c>
      <c r="E58" s="21">
        <v>170000</v>
      </c>
      <c r="F58" s="21">
        <v>0</v>
      </c>
      <c r="G58" s="21">
        <v>0</v>
      </c>
      <c r="H58" s="21">
        <v>506000</v>
      </c>
    </row>
    <row r="59" spans="1:8" ht="15.6" x14ac:dyDescent="0.3">
      <c r="A59" s="20" t="s">
        <v>14</v>
      </c>
      <c r="B59" s="21">
        <v>0</v>
      </c>
      <c r="C59" s="21">
        <v>0</v>
      </c>
      <c r="D59" s="21">
        <v>0</v>
      </c>
      <c r="E59" s="21">
        <v>264000</v>
      </c>
      <c r="F59" s="21">
        <v>372000</v>
      </c>
      <c r="G59" s="21">
        <v>532000</v>
      </c>
      <c r="H59" s="21">
        <v>1168000</v>
      </c>
    </row>
    <row r="60" spans="1:8" ht="15.6" x14ac:dyDescent="0.3">
      <c r="A60" s="20" t="s">
        <v>271</v>
      </c>
      <c r="B60" s="21">
        <v>71000</v>
      </c>
      <c r="C60" s="21">
        <v>596000</v>
      </c>
      <c r="D60" s="21">
        <v>848000</v>
      </c>
      <c r="E60" s="21">
        <v>1550000</v>
      </c>
      <c r="F60" s="21">
        <v>1612000</v>
      </c>
      <c r="G60" s="21">
        <v>2069000</v>
      </c>
      <c r="H60" s="21">
        <v>6746000</v>
      </c>
    </row>
    <row r="63" spans="1:8" ht="17.399999999999999" x14ac:dyDescent="0.3">
      <c r="A63" s="18" t="s">
        <v>279</v>
      </c>
    </row>
    <row r="64" spans="1:8" ht="15.6" x14ac:dyDescent="0.3">
      <c r="A64" s="31" t="s">
        <v>224</v>
      </c>
      <c r="B64" s="31" t="s">
        <v>216</v>
      </c>
      <c r="C64" s="25"/>
      <c r="D64" s="25"/>
      <c r="E64" s="25"/>
      <c r="F64" s="25"/>
      <c r="G64" s="25"/>
      <c r="H64" s="25"/>
    </row>
    <row r="65" spans="1:8" ht="15.6" x14ac:dyDescent="0.3">
      <c r="A65" s="31" t="s">
        <v>212</v>
      </c>
      <c r="B65" s="25">
        <v>2.5</v>
      </c>
      <c r="C65" s="25">
        <v>3</v>
      </c>
      <c r="D65" s="25">
        <v>3.5</v>
      </c>
      <c r="E65" s="25">
        <v>4</v>
      </c>
      <c r="F65" s="25">
        <v>4.5</v>
      </c>
      <c r="G65" s="25">
        <v>5</v>
      </c>
      <c r="H65" s="25" t="s">
        <v>271</v>
      </c>
    </row>
    <row r="66" spans="1:8" ht="15.6" x14ac:dyDescent="0.3">
      <c r="A66" s="20" t="s">
        <v>22</v>
      </c>
      <c r="B66" s="21">
        <v>0</v>
      </c>
      <c r="C66" s="21">
        <v>0</v>
      </c>
      <c r="D66" s="21">
        <v>0</v>
      </c>
      <c r="E66" s="21">
        <v>0</v>
      </c>
      <c r="F66" s="21">
        <v>86333.333333333328</v>
      </c>
      <c r="G66" s="21">
        <v>99166.666666666672</v>
      </c>
      <c r="H66" s="21">
        <v>96600</v>
      </c>
    </row>
    <row r="67" spans="1:8" ht="15.6" x14ac:dyDescent="0.3">
      <c r="A67" s="20" t="s">
        <v>7</v>
      </c>
      <c r="B67" s="21">
        <v>0</v>
      </c>
      <c r="C67" s="21">
        <v>48000</v>
      </c>
      <c r="D67" s="21">
        <v>53666.666666666664</v>
      </c>
      <c r="E67" s="21">
        <v>60400</v>
      </c>
      <c r="F67" s="21">
        <v>65000</v>
      </c>
      <c r="G67" s="21">
        <v>75000</v>
      </c>
      <c r="H67" s="21">
        <v>58000</v>
      </c>
    </row>
    <row r="68" spans="1:8" ht="15.6" x14ac:dyDescent="0.3">
      <c r="A68" s="20" t="s">
        <v>11</v>
      </c>
      <c r="B68" s="21">
        <v>35500</v>
      </c>
      <c r="C68" s="21">
        <v>40600</v>
      </c>
      <c r="D68" s="21">
        <v>42000</v>
      </c>
      <c r="E68" s="21">
        <v>52000</v>
      </c>
      <c r="F68" s="21">
        <v>0</v>
      </c>
      <c r="G68" s="21">
        <v>0</v>
      </c>
      <c r="H68" s="21">
        <v>40937.5</v>
      </c>
    </row>
    <row r="69" spans="1:8" ht="15.6" x14ac:dyDescent="0.3">
      <c r="A69" s="20" t="s">
        <v>2</v>
      </c>
      <c r="B69" s="21">
        <v>0</v>
      </c>
      <c r="C69" s="21">
        <v>49000</v>
      </c>
      <c r="D69" s="21">
        <v>45000</v>
      </c>
      <c r="E69" s="21">
        <v>65333.333333333336</v>
      </c>
      <c r="F69" s="21">
        <v>75500</v>
      </c>
      <c r="G69" s="21">
        <v>90666.666666666672</v>
      </c>
      <c r="H69" s="21">
        <v>72875</v>
      </c>
    </row>
    <row r="70" spans="1:8" ht="15.6" x14ac:dyDescent="0.3">
      <c r="A70" s="20" t="s">
        <v>18</v>
      </c>
      <c r="B70" s="21">
        <v>0</v>
      </c>
      <c r="C70" s="21">
        <v>0</v>
      </c>
      <c r="D70" s="21">
        <v>56000</v>
      </c>
      <c r="E70" s="21">
        <v>62888.888888888891</v>
      </c>
      <c r="F70" s="21">
        <v>78000</v>
      </c>
      <c r="G70" s="21">
        <v>0</v>
      </c>
      <c r="H70" s="21">
        <v>66000</v>
      </c>
    </row>
    <row r="71" spans="1:8" ht="15.6" x14ac:dyDescent="0.3">
      <c r="A71" s="20" t="s">
        <v>25</v>
      </c>
      <c r="B71" s="21">
        <v>0</v>
      </c>
      <c r="C71" s="21">
        <v>46500</v>
      </c>
      <c r="D71" s="21">
        <v>48600</v>
      </c>
      <c r="E71" s="21">
        <v>56666.666666666664</v>
      </c>
      <c r="F71" s="21">
        <v>0</v>
      </c>
      <c r="G71" s="21">
        <v>0</v>
      </c>
      <c r="H71" s="21">
        <v>50600</v>
      </c>
    </row>
    <row r="72" spans="1:8" ht="15.6" x14ac:dyDescent="0.3">
      <c r="A72" s="20" t="s">
        <v>14</v>
      </c>
      <c r="B72" s="21">
        <v>0</v>
      </c>
      <c r="C72" s="21">
        <v>0</v>
      </c>
      <c r="D72" s="21">
        <v>0</v>
      </c>
      <c r="E72" s="21">
        <v>66000</v>
      </c>
      <c r="F72" s="21">
        <v>74400</v>
      </c>
      <c r="G72" s="21">
        <v>88666.666666666672</v>
      </c>
      <c r="H72" s="21">
        <v>77866.666666666672</v>
      </c>
    </row>
    <row r="73" spans="1:8" ht="15.6" x14ac:dyDescent="0.3">
      <c r="A73" s="20" t="s">
        <v>271</v>
      </c>
      <c r="B73" s="21">
        <v>35500</v>
      </c>
      <c r="C73" s="21">
        <v>42571.428571428572</v>
      </c>
      <c r="D73" s="21">
        <v>49882.352941176468</v>
      </c>
      <c r="E73" s="21">
        <v>62000</v>
      </c>
      <c r="F73" s="21">
        <v>76761.904761904763</v>
      </c>
      <c r="G73" s="21">
        <v>94045.454545454544</v>
      </c>
      <c r="H73" s="21">
        <v>66792.079207920789</v>
      </c>
    </row>
    <row r="76" spans="1:8" ht="17.399999999999999" x14ac:dyDescent="0.3">
      <c r="A76" s="18" t="s">
        <v>280</v>
      </c>
    </row>
    <row r="77" spans="1:8" x14ac:dyDescent="0.3">
      <c r="A77" s="35" t="s">
        <v>215</v>
      </c>
      <c r="B77" s="28" t="s">
        <v>263</v>
      </c>
      <c r="C77" s="28" t="s">
        <v>224</v>
      </c>
      <c r="D77" s="28" t="s">
        <v>264</v>
      </c>
    </row>
    <row r="78" spans="1:8" x14ac:dyDescent="0.3">
      <c r="A78" t="s">
        <v>281</v>
      </c>
      <c r="B78" s="36">
        <v>22</v>
      </c>
      <c r="C78" s="29">
        <v>43545.454545454544</v>
      </c>
      <c r="D78" s="30">
        <v>3.1590909090909092</v>
      </c>
    </row>
    <row r="79" spans="1:8" x14ac:dyDescent="0.3">
      <c r="A79" t="s">
        <v>282</v>
      </c>
      <c r="B79" s="36">
        <v>36</v>
      </c>
      <c r="C79" s="29">
        <v>58666.666666666664</v>
      </c>
      <c r="D79" s="30">
        <v>3.8472222222222223</v>
      </c>
    </row>
    <row r="80" spans="1:8" x14ac:dyDescent="0.3">
      <c r="A80" t="s">
        <v>283</v>
      </c>
      <c r="B80" s="36">
        <v>27</v>
      </c>
      <c r="C80" s="29">
        <v>78000</v>
      </c>
      <c r="D80" s="30">
        <v>4.5740740740740744</v>
      </c>
    </row>
    <row r="81" spans="1:6" x14ac:dyDescent="0.3">
      <c r="A81" t="s">
        <v>284</v>
      </c>
      <c r="B81" s="36">
        <v>16</v>
      </c>
      <c r="C81" s="29">
        <v>98125</v>
      </c>
      <c r="D81" s="30">
        <v>4.96875</v>
      </c>
    </row>
    <row r="82" spans="1:6" x14ac:dyDescent="0.3">
      <c r="A82" t="s">
        <v>271</v>
      </c>
      <c r="B82" s="36">
        <v>101</v>
      </c>
      <c r="C82" s="29">
        <v>66792.079207920789</v>
      </c>
      <c r="D82" s="30">
        <v>4.0693069306930694</v>
      </c>
    </row>
    <row r="85" spans="1:6" ht="17.399999999999999" x14ac:dyDescent="0.3">
      <c r="A85" s="18" t="s">
        <v>285</v>
      </c>
    </row>
    <row r="86" spans="1:6" ht="15.6" x14ac:dyDescent="0.3">
      <c r="A86" s="31" t="s">
        <v>286</v>
      </c>
      <c r="B86" s="33" t="s">
        <v>287</v>
      </c>
      <c r="C86" s="25"/>
      <c r="D86" s="25"/>
      <c r="E86" s="25"/>
      <c r="F86" s="25"/>
    </row>
    <row r="87" spans="1:6" ht="15.6" x14ac:dyDescent="0.3">
      <c r="A87" s="31" t="s">
        <v>212</v>
      </c>
      <c r="B87" s="25" t="s">
        <v>281</v>
      </c>
      <c r="C87" s="25" t="s">
        <v>282</v>
      </c>
      <c r="D87" s="25" t="s">
        <v>283</v>
      </c>
      <c r="E87" s="25" t="s">
        <v>284</v>
      </c>
      <c r="F87" s="25" t="s">
        <v>271</v>
      </c>
    </row>
    <row r="88" spans="1:6" ht="15.6" x14ac:dyDescent="0.3">
      <c r="A88" s="20" t="s">
        <v>22</v>
      </c>
      <c r="B88" s="37">
        <v>0</v>
      </c>
      <c r="C88" s="37">
        <v>0</v>
      </c>
      <c r="D88" s="37">
        <v>5</v>
      </c>
      <c r="E88" s="37">
        <v>10</v>
      </c>
      <c r="F88" s="37">
        <v>15</v>
      </c>
    </row>
    <row r="89" spans="1:6" ht="15.6" x14ac:dyDescent="0.3">
      <c r="A89" s="20" t="s">
        <v>7</v>
      </c>
      <c r="B89" s="37">
        <v>3</v>
      </c>
      <c r="C89" s="37">
        <v>10</v>
      </c>
      <c r="D89" s="37">
        <v>1</v>
      </c>
      <c r="E89" s="37">
        <v>0</v>
      </c>
      <c r="F89" s="37">
        <v>14</v>
      </c>
    </row>
    <row r="90" spans="1:6" ht="15.6" x14ac:dyDescent="0.3">
      <c r="A90" s="20" t="s">
        <v>11</v>
      </c>
      <c r="B90" s="37">
        <v>14</v>
      </c>
      <c r="C90" s="37">
        <v>2</v>
      </c>
      <c r="D90" s="37">
        <v>0</v>
      </c>
      <c r="E90" s="37">
        <v>0</v>
      </c>
      <c r="F90" s="37">
        <v>16</v>
      </c>
    </row>
    <row r="91" spans="1:6" ht="15.6" x14ac:dyDescent="0.3">
      <c r="A91" s="20" t="s">
        <v>2</v>
      </c>
      <c r="B91" s="37">
        <v>2</v>
      </c>
      <c r="C91" s="37">
        <v>5</v>
      </c>
      <c r="D91" s="37">
        <v>7</v>
      </c>
      <c r="E91" s="37">
        <v>2</v>
      </c>
      <c r="F91" s="37">
        <v>16</v>
      </c>
    </row>
    <row r="92" spans="1:6" ht="15.6" x14ac:dyDescent="0.3">
      <c r="A92" s="20" t="s">
        <v>18</v>
      </c>
      <c r="B92" s="37">
        <v>0</v>
      </c>
      <c r="C92" s="37">
        <v>8</v>
      </c>
      <c r="D92" s="37">
        <v>6</v>
      </c>
      <c r="E92" s="37">
        <v>1</v>
      </c>
      <c r="F92" s="37">
        <v>15</v>
      </c>
    </row>
    <row r="93" spans="1:6" ht="15.6" x14ac:dyDescent="0.3">
      <c r="A93" s="20" t="s">
        <v>25</v>
      </c>
      <c r="B93" s="37">
        <v>3</v>
      </c>
      <c r="C93" s="37">
        <v>7</v>
      </c>
      <c r="D93" s="37">
        <v>0</v>
      </c>
      <c r="E93" s="37">
        <v>0</v>
      </c>
      <c r="F93" s="37">
        <v>10</v>
      </c>
    </row>
    <row r="94" spans="1:6" ht="15.6" x14ac:dyDescent="0.3">
      <c r="A94" s="20" t="s">
        <v>14</v>
      </c>
      <c r="B94" s="37">
        <v>0</v>
      </c>
      <c r="C94" s="37">
        <v>4</v>
      </c>
      <c r="D94" s="37">
        <v>8</v>
      </c>
      <c r="E94" s="37">
        <v>3</v>
      </c>
      <c r="F94" s="37">
        <v>15</v>
      </c>
    </row>
    <row r="95" spans="1:6" ht="15.6" x14ac:dyDescent="0.3">
      <c r="A95" s="20" t="s">
        <v>271</v>
      </c>
      <c r="B95" s="37">
        <v>22</v>
      </c>
      <c r="C95" s="37">
        <v>36</v>
      </c>
      <c r="D95" s="37">
        <v>27</v>
      </c>
      <c r="E95" s="37">
        <v>16</v>
      </c>
      <c r="F95" s="37">
        <v>101</v>
      </c>
    </row>
    <row r="96" spans="1:6" ht="15.6" x14ac:dyDescent="0.3">
      <c r="A96" s="20"/>
      <c r="B96" s="20"/>
      <c r="C96" s="20"/>
      <c r="D96" s="20"/>
      <c r="E96" s="20"/>
      <c r="F96" s="20"/>
    </row>
    <row r="97" spans="1:10" ht="15.6" x14ac:dyDescent="0.3">
      <c r="A97" s="20"/>
      <c r="B97" s="20"/>
      <c r="C97" s="20"/>
      <c r="D97" s="20"/>
      <c r="E97" s="20"/>
      <c r="F97" s="20"/>
    </row>
    <row r="98" spans="1:10" ht="17.399999999999999" x14ac:dyDescent="0.3">
      <c r="A98" s="18" t="s">
        <v>288</v>
      </c>
    </row>
    <row r="99" spans="1:10" ht="15.6" x14ac:dyDescent="0.3">
      <c r="A99" s="31" t="s">
        <v>213</v>
      </c>
      <c r="B99" s="25" t="s">
        <v>263</v>
      </c>
      <c r="C99" s="25" t="s">
        <v>223</v>
      </c>
      <c r="D99" s="20"/>
      <c r="E99" s="20"/>
      <c r="F99" s="20"/>
      <c r="G99" s="20"/>
      <c r="H99" s="20"/>
      <c r="I99" s="20"/>
      <c r="J99" s="20"/>
    </row>
    <row r="100" spans="1:10" ht="15.6" x14ac:dyDescent="0.3">
      <c r="A100" s="20" t="s">
        <v>8</v>
      </c>
      <c r="B100" s="37">
        <v>20</v>
      </c>
      <c r="C100" s="21">
        <v>1332000</v>
      </c>
      <c r="D100" s="20"/>
      <c r="E100" s="20"/>
      <c r="F100" s="20"/>
      <c r="G100" s="20"/>
      <c r="H100" s="20"/>
      <c r="I100" s="20"/>
      <c r="J100" s="20"/>
    </row>
    <row r="101" spans="1:10" ht="15.6" x14ac:dyDescent="0.3">
      <c r="A101" s="20" t="s">
        <v>3</v>
      </c>
      <c r="B101" s="37">
        <v>29</v>
      </c>
      <c r="C101" s="21">
        <v>1999000</v>
      </c>
      <c r="D101" s="20"/>
      <c r="E101" s="20"/>
      <c r="F101" s="20"/>
      <c r="G101" s="20"/>
      <c r="H101" s="20"/>
      <c r="I101" s="20"/>
      <c r="J101" s="20"/>
    </row>
    <row r="102" spans="1:10" ht="15.6" x14ac:dyDescent="0.3">
      <c r="A102" s="20" t="s">
        <v>15</v>
      </c>
      <c r="B102" s="37">
        <v>19</v>
      </c>
      <c r="C102" s="21">
        <v>1407000</v>
      </c>
      <c r="D102" s="20"/>
      <c r="E102" s="20"/>
      <c r="F102" s="20"/>
      <c r="G102" s="20"/>
      <c r="H102" s="20"/>
      <c r="I102" s="20"/>
      <c r="J102" s="20"/>
    </row>
    <row r="103" spans="1:10" ht="15.6" x14ac:dyDescent="0.3">
      <c r="A103" s="20" t="s">
        <v>26</v>
      </c>
      <c r="B103" s="37">
        <v>14</v>
      </c>
      <c r="C103" s="21">
        <v>836000</v>
      </c>
      <c r="D103" s="20"/>
      <c r="E103" s="20"/>
      <c r="F103" s="20"/>
      <c r="G103" s="20"/>
      <c r="H103" s="20"/>
      <c r="I103" s="20"/>
      <c r="J103" s="20"/>
    </row>
    <row r="104" spans="1:10" ht="15.6" x14ac:dyDescent="0.3">
      <c r="A104" s="20" t="s">
        <v>19</v>
      </c>
      <c r="B104" s="37">
        <v>19</v>
      </c>
      <c r="C104" s="21">
        <v>1172000</v>
      </c>
      <c r="D104" s="20"/>
      <c r="E104" s="20"/>
      <c r="F104" s="20"/>
      <c r="G104" s="20"/>
      <c r="H104" s="20"/>
      <c r="I104" s="20"/>
      <c r="J104" s="20"/>
    </row>
    <row r="105" spans="1:10" ht="15.6" x14ac:dyDescent="0.3">
      <c r="A105" s="20" t="s">
        <v>271</v>
      </c>
      <c r="B105" s="37">
        <v>101</v>
      </c>
      <c r="C105" s="21">
        <v>6746000</v>
      </c>
      <c r="D105" s="20"/>
      <c r="E105" s="20"/>
      <c r="F105" s="20"/>
      <c r="G105" s="20"/>
      <c r="H105" s="20"/>
      <c r="I105" s="20"/>
      <c r="J105" s="20"/>
    </row>
    <row r="106" spans="1:10" ht="15.6" x14ac:dyDescent="0.3">
      <c r="A106" s="20"/>
      <c r="B106" s="20"/>
      <c r="C106" s="20"/>
      <c r="D106" s="20"/>
      <c r="E106" s="20"/>
      <c r="F106" s="20"/>
      <c r="G106" s="20"/>
      <c r="H106" s="20"/>
      <c r="I106" s="20"/>
      <c r="J106" s="20"/>
    </row>
    <row r="107" spans="1:10" ht="15.6" x14ac:dyDescent="0.3">
      <c r="A107" s="20"/>
      <c r="B107" s="20"/>
      <c r="C107" s="20"/>
      <c r="D107" s="20"/>
      <c r="E107" s="20"/>
      <c r="F107" s="20"/>
      <c r="G107" s="20"/>
      <c r="H107" s="20"/>
      <c r="I107" s="20"/>
      <c r="J107" s="20"/>
    </row>
    <row r="108" spans="1:10" ht="17.399999999999999" x14ac:dyDescent="0.3">
      <c r="A108" s="18" t="s">
        <v>289</v>
      </c>
      <c r="B108" s="20"/>
      <c r="C108" s="20"/>
      <c r="D108" s="20"/>
      <c r="E108" s="20"/>
      <c r="F108" s="20"/>
      <c r="G108" s="20"/>
      <c r="H108" s="20"/>
      <c r="I108" s="20"/>
      <c r="J108" s="20"/>
    </row>
    <row r="109" spans="1:10" ht="15.6" x14ac:dyDescent="0.3">
      <c r="A109" s="31" t="s">
        <v>213</v>
      </c>
      <c r="B109" s="25" t="s">
        <v>263</v>
      </c>
      <c r="C109" s="25" t="s">
        <v>223</v>
      </c>
      <c r="D109" s="25" t="s">
        <v>224</v>
      </c>
      <c r="E109" s="20"/>
      <c r="F109" s="20"/>
      <c r="G109" s="20"/>
      <c r="H109" s="20"/>
      <c r="I109" s="20"/>
      <c r="J109" s="20"/>
    </row>
    <row r="110" spans="1:10" ht="15.6" x14ac:dyDescent="0.3">
      <c r="A110" s="20" t="s">
        <v>8</v>
      </c>
      <c r="B110" s="37">
        <v>20</v>
      </c>
      <c r="C110" s="21">
        <v>1332000</v>
      </c>
      <c r="D110" s="21">
        <v>66600</v>
      </c>
      <c r="E110" s="20"/>
      <c r="F110" s="20"/>
      <c r="G110" s="20"/>
      <c r="H110" s="20"/>
      <c r="I110" s="20"/>
      <c r="J110" s="20"/>
    </row>
    <row r="111" spans="1:10" ht="15.6" x14ac:dyDescent="0.3">
      <c r="A111" s="20" t="s">
        <v>3</v>
      </c>
      <c r="B111" s="37">
        <v>29</v>
      </c>
      <c r="C111" s="21">
        <v>1999000</v>
      </c>
      <c r="D111" s="21">
        <v>68931.034482758623</v>
      </c>
      <c r="E111" s="20"/>
      <c r="F111" s="20"/>
      <c r="G111" s="20"/>
      <c r="H111" s="20"/>
      <c r="I111" s="20"/>
      <c r="J111" s="20"/>
    </row>
    <row r="112" spans="1:10" ht="15.6" x14ac:dyDescent="0.3">
      <c r="A112" s="20" t="s">
        <v>15</v>
      </c>
      <c r="B112" s="37">
        <v>19</v>
      </c>
      <c r="C112" s="21">
        <v>1407000</v>
      </c>
      <c r="D112" s="21">
        <v>74052.631578947374</v>
      </c>
      <c r="E112" s="20"/>
      <c r="F112" s="20"/>
      <c r="G112" s="20"/>
      <c r="H112" s="20"/>
      <c r="I112" s="20"/>
      <c r="J112" s="20"/>
    </row>
    <row r="113" spans="1:10" ht="15.6" x14ac:dyDescent="0.3">
      <c r="A113" s="20" t="s">
        <v>26</v>
      </c>
      <c r="B113" s="37">
        <v>14</v>
      </c>
      <c r="C113" s="21">
        <v>836000</v>
      </c>
      <c r="D113" s="21">
        <v>59714.285714285717</v>
      </c>
      <c r="E113" s="20"/>
      <c r="F113" s="20"/>
      <c r="G113" s="20"/>
      <c r="H113" s="20"/>
      <c r="I113" s="20"/>
      <c r="J113" s="20"/>
    </row>
    <row r="114" spans="1:10" ht="15.6" x14ac:dyDescent="0.3">
      <c r="A114" s="20" t="s">
        <v>19</v>
      </c>
      <c r="B114" s="37">
        <v>19</v>
      </c>
      <c r="C114" s="21">
        <v>1172000</v>
      </c>
      <c r="D114" s="21">
        <v>61684.210526315786</v>
      </c>
      <c r="E114" s="20"/>
      <c r="F114" s="20"/>
      <c r="G114" s="20"/>
      <c r="H114" s="20"/>
      <c r="I114" s="20"/>
      <c r="J114" s="20"/>
    </row>
    <row r="115" spans="1:10" ht="15.6" x14ac:dyDescent="0.3">
      <c r="A115" s="20" t="s">
        <v>271</v>
      </c>
      <c r="B115" s="37">
        <v>101</v>
      </c>
      <c r="C115" s="21">
        <v>6746000</v>
      </c>
      <c r="D115" s="21">
        <v>66792.079207920789</v>
      </c>
      <c r="E115" s="20"/>
      <c r="F115" s="20"/>
      <c r="G115" s="20"/>
      <c r="H115" s="20"/>
      <c r="I115" s="20"/>
      <c r="J115" s="20"/>
    </row>
    <row r="116" spans="1:10" ht="15.6" x14ac:dyDescent="0.3">
      <c r="A116" s="20"/>
      <c r="B116" s="20"/>
      <c r="C116" s="20"/>
      <c r="D116" s="20"/>
      <c r="E116" s="20"/>
      <c r="F116" s="20"/>
      <c r="G116" s="20"/>
      <c r="H116" s="20"/>
      <c r="I116" s="20"/>
      <c r="J116" s="20"/>
    </row>
    <row r="117" spans="1:10" ht="15.6" x14ac:dyDescent="0.3">
      <c r="A117" s="20"/>
      <c r="B117" s="20"/>
      <c r="C117" s="20"/>
      <c r="D117" s="20"/>
      <c r="E117" s="20"/>
      <c r="F117" s="20"/>
      <c r="G117" s="20"/>
      <c r="H117" s="20"/>
      <c r="I117" s="20"/>
      <c r="J117" s="20"/>
    </row>
    <row r="118" spans="1:10" ht="17.399999999999999" x14ac:dyDescent="0.3">
      <c r="A118" s="18" t="s">
        <v>290</v>
      </c>
      <c r="B118" s="20"/>
      <c r="C118" s="20"/>
      <c r="D118" s="20"/>
      <c r="E118" s="20"/>
      <c r="F118" s="20"/>
      <c r="G118" s="20"/>
      <c r="H118" s="20"/>
      <c r="I118" s="20"/>
      <c r="J118" s="20"/>
    </row>
    <row r="119" spans="1:10" ht="15.6" x14ac:dyDescent="0.3">
      <c r="A119" s="31" t="s">
        <v>263</v>
      </c>
      <c r="B119" s="31" t="s">
        <v>212</v>
      </c>
      <c r="C119" s="25"/>
      <c r="D119" s="25"/>
      <c r="E119" s="25"/>
      <c r="F119" s="25"/>
      <c r="G119" s="25"/>
      <c r="H119" s="25"/>
      <c r="I119" s="25"/>
      <c r="J119" s="20"/>
    </row>
    <row r="120" spans="1:10" ht="15.6" x14ac:dyDescent="0.3">
      <c r="A120" s="31" t="s">
        <v>213</v>
      </c>
      <c r="B120" s="25" t="s">
        <v>22</v>
      </c>
      <c r="C120" s="25" t="s">
        <v>7</v>
      </c>
      <c r="D120" s="25" t="s">
        <v>11</v>
      </c>
      <c r="E120" s="25" t="s">
        <v>2</v>
      </c>
      <c r="F120" s="25" t="s">
        <v>18</v>
      </c>
      <c r="G120" s="25" t="s">
        <v>25</v>
      </c>
      <c r="H120" s="25" t="s">
        <v>14</v>
      </c>
      <c r="I120" s="25" t="s">
        <v>271</v>
      </c>
      <c r="J120" s="20"/>
    </row>
    <row r="121" spans="1:10" ht="15.6" x14ac:dyDescent="0.3">
      <c r="A121" s="20" t="s">
        <v>8</v>
      </c>
      <c r="B121" s="37">
        <v>4</v>
      </c>
      <c r="C121" s="37">
        <v>4</v>
      </c>
      <c r="D121" s="37">
        <v>5</v>
      </c>
      <c r="E121" s="37">
        <v>2</v>
      </c>
      <c r="F121" s="37">
        <v>1</v>
      </c>
      <c r="G121" s="37">
        <v>3</v>
      </c>
      <c r="H121" s="37">
        <v>1</v>
      </c>
      <c r="I121" s="37">
        <v>20</v>
      </c>
      <c r="J121" s="20"/>
    </row>
    <row r="122" spans="1:10" ht="15.6" x14ac:dyDescent="0.3">
      <c r="A122" s="20" t="s">
        <v>3</v>
      </c>
      <c r="B122" s="37">
        <v>6</v>
      </c>
      <c r="C122" s="37">
        <v>2</v>
      </c>
      <c r="D122" s="37">
        <v>5</v>
      </c>
      <c r="E122" s="37">
        <v>6</v>
      </c>
      <c r="F122" s="37">
        <v>4</v>
      </c>
      <c r="G122" s="37">
        <v>2</v>
      </c>
      <c r="H122" s="37">
        <v>4</v>
      </c>
      <c r="I122" s="37">
        <v>29</v>
      </c>
      <c r="J122" s="20"/>
    </row>
    <row r="123" spans="1:10" ht="15.6" x14ac:dyDescent="0.3">
      <c r="A123" s="20" t="s">
        <v>15</v>
      </c>
      <c r="B123" s="37">
        <v>3</v>
      </c>
      <c r="C123" s="37">
        <v>1</v>
      </c>
      <c r="D123" s="37">
        <v>1</v>
      </c>
      <c r="E123" s="37">
        <v>4</v>
      </c>
      <c r="F123" s="37">
        <v>4</v>
      </c>
      <c r="G123" s="37">
        <v>0</v>
      </c>
      <c r="H123" s="37">
        <v>6</v>
      </c>
      <c r="I123" s="37">
        <v>19</v>
      </c>
      <c r="J123" s="20"/>
    </row>
    <row r="124" spans="1:10" ht="15.6" x14ac:dyDescent="0.3">
      <c r="A124" s="20" t="s">
        <v>26</v>
      </c>
      <c r="B124" s="37">
        <v>1</v>
      </c>
      <c r="C124" s="37">
        <v>3</v>
      </c>
      <c r="D124" s="37">
        <v>1</v>
      </c>
      <c r="E124" s="37">
        <v>0</v>
      </c>
      <c r="F124" s="37">
        <v>1</v>
      </c>
      <c r="G124" s="37">
        <v>5</v>
      </c>
      <c r="H124" s="37">
        <v>3</v>
      </c>
      <c r="I124" s="37">
        <v>14</v>
      </c>
      <c r="J124" s="20"/>
    </row>
    <row r="125" spans="1:10" ht="15.6" x14ac:dyDescent="0.3">
      <c r="A125" s="20" t="s">
        <v>19</v>
      </c>
      <c r="B125" s="37">
        <v>1</v>
      </c>
      <c r="C125" s="37">
        <v>4</v>
      </c>
      <c r="D125" s="37">
        <v>4</v>
      </c>
      <c r="E125" s="37">
        <v>4</v>
      </c>
      <c r="F125" s="37">
        <v>5</v>
      </c>
      <c r="G125" s="37">
        <v>0</v>
      </c>
      <c r="H125" s="37">
        <v>1</v>
      </c>
      <c r="I125" s="37">
        <v>19</v>
      </c>
      <c r="J125" s="20"/>
    </row>
    <row r="126" spans="1:10" ht="15.6" x14ac:dyDescent="0.3">
      <c r="A126" s="20" t="s">
        <v>271</v>
      </c>
      <c r="B126" s="37">
        <v>15</v>
      </c>
      <c r="C126" s="37">
        <v>14</v>
      </c>
      <c r="D126" s="37">
        <v>16</v>
      </c>
      <c r="E126" s="37">
        <v>16</v>
      </c>
      <c r="F126" s="37">
        <v>15</v>
      </c>
      <c r="G126" s="37">
        <v>10</v>
      </c>
      <c r="H126" s="37">
        <v>15</v>
      </c>
      <c r="I126" s="37">
        <v>101</v>
      </c>
      <c r="J126" s="20"/>
    </row>
    <row r="127" spans="1:10" ht="15.6" x14ac:dyDescent="0.3">
      <c r="A127" s="20"/>
      <c r="B127" s="20"/>
      <c r="C127" s="20"/>
      <c r="D127" s="20"/>
      <c r="E127" s="20"/>
      <c r="F127" s="20"/>
      <c r="G127" s="20"/>
      <c r="H127" s="20"/>
      <c r="I127" s="20"/>
      <c r="J127" s="20"/>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Dash_board</vt:lpstr>
      <vt:lpstr>Raw_Data</vt:lpstr>
      <vt:lpstr>Analysis</vt:lpstr>
      <vt:lpstr>Pivot_Tables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srilakshmi ramkumar</dc:creator>
  <cp:lastModifiedBy>srilakshmi ramkumar</cp:lastModifiedBy>
  <dcterms:created xsi:type="dcterms:W3CDTF">2026-09-23T05:40:54Z</dcterms:created>
  <dcterms:modified xsi:type="dcterms:W3CDTF">2026-09-24T06:29:35Z</dcterms:modified>
</cp:coreProperties>
</file>